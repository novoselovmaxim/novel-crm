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680" windowHeight="11970"/>
  </bookViews>
  <sheets>
    <sheet name="КЗ" sheetId="1" r:id="rId1"/>
  </sheets>
  <calcPr calcId="152511" concurrentCalc="0"/>
</workbook>
</file>

<file path=xl/calcChain.xml><?xml version="1.0" encoding="utf-8"?>
<calcChain xmlns="http://schemas.openxmlformats.org/spreadsheetml/2006/main">
  <c r="L2" i="1" l="1"/>
  <c r="AG2" i="1"/>
  <c r="L3" i="1"/>
  <c r="AC3" i="1"/>
  <c r="AG3" i="1"/>
  <c r="L4" i="1"/>
  <c r="AC4" i="1"/>
  <c r="AG4" i="1"/>
  <c r="L5" i="1"/>
  <c r="AC5" i="1"/>
  <c r="AG5" i="1"/>
  <c r="L6" i="1"/>
  <c r="AC6" i="1"/>
  <c r="AG6" i="1"/>
  <c r="L7" i="1"/>
  <c r="AC7" i="1"/>
  <c r="AG7" i="1"/>
  <c r="L8" i="1"/>
  <c r="AC8" i="1"/>
  <c r="AG8" i="1"/>
  <c r="L9" i="1"/>
  <c r="AC9" i="1"/>
  <c r="AG9" i="1"/>
  <c r="L10" i="1"/>
  <c r="AG10" i="1"/>
  <c r="L11" i="1"/>
  <c r="AG11" i="1"/>
  <c r="L12" i="1"/>
  <c r="AG12" i="1"/>
  <c r="L13" i="1"/>
  <c r="AG13" i="1"/>
  <c r="L14" i="1"/>
  <c r="AG14" i="1"/>
  <c r="L15" i="1"/>
  <c r="AG15" i="1"/>
  <c r="L16" i="1"/>
  <c r="AG16" i="1"/>
  <c r="L17" i="1"/>
  <c r="AG17" i="1"/>
  <c r="L18" i="1"/>
  <c r="AG18" i="1"/>
  <c r="L19" i="1"/>
  <c r="AG19" i="1"/>
  <c r="L20" i="1"/>
  <c r="AG20" i="1"/>
  <c r="L21" i="1"/>
  <c r="AG21" i="1"/>
  <c r="L22" i="1"/>
  <c r="AG22" i="1"/>
  <c r="L23" i="1"/>
  <c r="AC23" i="1"/>
  <c r="AG23" i="1"/>
  <c r="L24" i="1"/>
  <c r="AC24" i="1"/>
  <c r="AG24" i="1"/>
  <c r="L25" i="1"/>
  <c r="AC25" i="1"/>
  <c r="AG25" i="1"/>
  <c r="L26" i="1"/>
  <c r="AC26" i="1"/>
  <c r="AG26" i="1"/>
  <c r="L27" i="1"/>
  <c r="AC27" i="1"/>
  <c r="AG27" i="1"/>
  <c r="L28" i="1"/>
  <c r="AC28" i="1"/>
  <c r="AG28" i="1"/>
  <c r="L29" i="1"/>
  <c r="AC29" i="1"/>
  <c r="AG29" i="1"/>
  <c r="L30" i="1"/>
  <c r="AC30" i="1"/>
  <c r="AG30" i="1"/>
  <c r="L31" i="1"/>
  <c r="AC31" i="1"/>
  <c r="AG31" i="1"/>
  <c r="L32" i="1"/>
  <c r="AC32" i="1"/>
  <c r="AG32" i="1"/>
  <c r="L33" i="1"/>
  <c r="AG33" i="1"/>
  <c r="L34" i="1"/>
  <c r="AC34" i="1"/>
  <c r="AG34" i="1"/>
  <c r="L35" i="1"/>
  <c r="AC35" i="1"/>
  <c r="AG35" i="1"/>
  <c r="L36" i="1"/>
  <c r="AC36" i="1"/>
  <c r="AG36" i="1"/>
  <c r="L37" i="1"/>
  <c r="AC37" i="1"/>
  <c r="AG37" i="1"/>
  <c r="L38" i="1"/>
  <c r="AG38" i="1"/>
  <c r="L39" i="1"/>
  <c r="AG39" i="1"/>
  <c r="L40" i="1"/>
  <c r="AG40" i="1"/>
  <c r="L41" i="1"/>
  <c r="AG41" i="1"/>
  <c r="L42" i="1"/>
  <c r="AG42" i="1"/>
  <c r="L43" i="1"/>
  <c r="AC43" i="1"/>
  <c r="AG43" i="1"/>
  <c r="L44" i="1"/>
  <c r="AC44" i="1"/>
  <c r="AG44" i="1"/>
  <c r="L45" i="1"/>
  <c r="AC45" i="1"/>
  <c r="AG45" i="1"/>
  <c r="L46" i="1"/>
  <c r="AC46" i="1"/>
  <c r="AG46" i="1"/>
  <c r="L47" i="1"/>
  <c r="AC47" i="1"/>
  <c r="AG47" i="1"/>
  <c r="L48" i="1"/>
  <c r="AC48" i="1"/>
  <c r="AG48" i="1"/>
  <c r="L49" i="1"/>
  <c r="AC49" i="1"/>
  <c r="AG49" i="1"/>
  <c r="L50" i="1"/>
  <c r="AC50" i="1"/>
  <c r="AG50" i="1"/>
  <c r="L51" i="1"/>
  <c r="AC51" i="1"/>
  <c r="AG51" i="1"/>
  <c r="L52" i="1"/>
  <c r="AC52" i="1"/>
  <c r="AG52" i="1"/>
  <c r="L53" i="1"/>
  <c r="AC53" i="1"/>
  <c r="AG53" i="1"/>
  <c r="L54" i="1"/>
  <c r="AC54" i="1"/>
  <c r="AG54" i="1"/>
  <c r="L55" i="1"/>
  <c r="AG55" i="1"/>
  <c r="L56" i="1"/>
  <c r="AC56" i="1"/>
  <c r="AG56" i="1"/>
  <c r="L57" i="1"/>
  <c r="AG57" i="1"/>
  <c r="L58" i="1"/>
  <c r="AC58" i="1"/>
  <c r="AG58" i="1"/>
  <c r="L59" i="1"/>
  <c r="AC59" i="1"/>
  <c r="AG59" i="1"/>
  <c r="L60" i="1"/>
  <c r="AC60" i="1"/>
  <c r="AG60" i="1"/>
  <c r="L61" i="1"/>
  <c r="AC61" i="1"/>
  <c r="AG61" i="1"/>
  <c r="L62" i="1"/>
  <c r="AC62" i="1"/>
  <c r="AG62" i="1"/>
  <c r="L63" i="1"/>
  <c r="AC63" i="1"/>
  <c r="AG63" i="1"/>
  <c r="L64" i="1"/>
  <c r="AC64" i="1"/>
  <c r="AG64" i="1"/>
  <c r="L65" i="1"/>
  <c r="AC65" i="1"/>
  <c r="AG65" i="1"/>
  <c r="L66" i="1"/>
  <c r="AC66" i="1"/>
  <c r="AG66" i="1"/>
  <c r="L67" i="1"/>
  <c r="AC67" i="1"/>
  <c r="AG67" i="1"/>
  <c r="L68" i="1"/>
  <c r="AC68" i="1"/>
  <c r="AG68" i="1"/>
  <c r="L69" i="1"/>
  <c r="AC69" i="1"/>
  <c r="AG69" i="1"/>
  <c r="L70" i="1"/>
  <c r="AC70" i="1"/>
  <c r="AG70" i="1"/>
  <c r="L71" i="1"/>
  <c r="AC71" i="1"/>
  <c r="AG71" i="1"/>
  <c r="L72" i="1"/>
  <c r="AC72" i="1"/>
  <c r="AG72" i="1"/>
  <c r="L73" i="1"/>
  <c r="AC73" i="1"/>
  <c r="AG73" i="1"/>
  <c r="L74" i="1"/>
  <c r="AC74" i="1"/>
  <c r="AG74" i="1"/>
  <c r="L75" i="1"/>
  <c r="AG75" i="1"/>
  <c r="L76" i="1"/>
  <c r="AG76" i="1"/>
  <c r="L77" i="1"/>
  <c r="AG77" i="1"/>
  <c r="L78" i="1"/>
  <c r="AG78" i="1"/>
  <c r="L79" i="1"/>
  <c r="AG79" i="1"/>
  <c r="L80" i="1"/>
  <c r="AC80" i="1"/>
  <c r="AG80" i="1"/>
  <c r="AK80" i="1"/>
  <c r="L81" i="1"/>
  <c r="AC81" i="1"/>
  <c r="AG81" i="1"/>
  <c r="AK81" i="1"/>
  <c r="L82" i="1"/>
  <c r="AC82" i="1"/>
  <c r="AG82" i="1"/>
  <c r="AK82" i="1"/>
  <c r="L83" i="1"/>
  <c r="AC83" i="1"/>
  <c r="AG83" i="1"/>
  <c r="AK83" i="1"/>
  <c r="L84" i="1"/>
  <c r="AC84" i="1"/>
  <c r="AG84" i="1"/>
  <c r="AK84" i="1"/>
  <c r="L85" i="1"/>
  <c r="AC85" i="1"/>
  <c r="AG85" i="1"/>
  <c r="AK85" i="1"/>
  <c r="L86" i="1"/>
  <c r="AG86" i="1"/>
  <c r="L87" i="1"/>
  <c r="AG87" i="1"/>
  <c r="L88" i="1"/>
  <c r="AG88" i="1"/>
  <c r="L89" i="1"/>
  <c r="AC89" i="1"/>
  <c r="AG89" i="1"/>
  <c r="L90" i="1"/>
  <c r="AC90" i="1"/>
  <c r="AG90" i="1"/>
  <c r="L91" i="1"/>
  <c r="AG91" i="1"/>
  <c r="L92" i="1"/>
  <c r="AG92" i="1"/>
  <c r="L93" i="1"/>
  <c r="AC93" i="1"/>
  <c r="AG93" i="1"/>
  <c r="L94" i="1"/>
  <c r="AG94" i="1"/>
  <c r="L95" i="1"/>
  <c r="AG95" i="1"/>
  <c r="L96" i="1"/>
  <c r="AG96" i="1"/>
  <c r="L97" i="1"/>
  <c r="AC97" i="1"/>
  <c r="AG97" i="1"/>
  <c r="L98" i="1"/>
  <c r="AC98" i="1"/>
  <c r="AG98" i="1"/>
  <c r="L99" i="1"/>
  <c r="AC99" i="1"/>
  <c r="AG99" i="1"/>
  <c r="L100" i="1"/>
  <c r="AC100" i="1"/>
  <c r="AG100" i="1"/>
</calcChain>
</file>

<file path=xl/sharedStrings.xml><?xml version="1.0" encoding="utf-8"?>
<sst xmlns="http://schemas.openxmlformats.org/spreadsheetml/2006/main" count="2475" uniqueCount="495">
  <si>
    <t>ND (Номер декларации)</t>
  </si>
  <si>
    <t>NDEXT (Номер товарной позиции)</t>
  </si>
  <si>
    <t>G072 (Дата регистрации)</t>
  </si>
  <si>
    <t>G071 (Таможня)</t>
  </si>
  <si>
    <t>G071_NAM (Название таможни)</t>
  </si>
  <si>
    <t>G011 (Направление перемещения)</t>
  </si>
  <si>
    <t>G0121 (Таможенный режим)</t>
  </si>
  <si>
    <t>G022 (Наименование отправителя)</t>
  </si>
  <si>
    <t>G023 (Адрес отправителя)</t>
  </si>
  <si>
    <t>G082 (Наименование получателя)</t>
  </si>
  <si>
    <t>G083 (Адрес получателя)</t>
  </si>
  <si>
    <t>BIN (БИН УВЭД)</t>
  </si>
  <si>
    <t>G07 (Особенность декларирования)</t>
  </si>
  <si>
    <t>G11A (Код торгующей страны)</t>
  </si>
  <si>
    <t>G11 (Торгующая страна)</t>
  </si>
  <si>
    <t>G15A (Код страны отправления)</t>
  </si>
  <si>
    <t>G15 (Страна отправления)</t>
  </si>
  <si>
    <t>G16 (Страна происхождения)</t>
  </si>
  <si>
    <t>G17A (Код страны назначения)</t>
  </si>
  <si>
    <t>G17B (Страна назначения)</t>
  </si>
  <si>
    <t>G202 (Условие поставки)</t>
  </si>
  <si>
    <t>G2021 (Пункт поставки)</t>
  </si>
  <si>
    <t>G221 (Валюта цены договора/ платежа (оценки))</t>
  </si>
  <si>
    <t>G23 (Курс валюты)</t>
  </si>
  <si>
    <t>G31_11 (Фирма-изготовитель)</t>
  </si>
  <si>
    <t>G31_12 (Товарный знак, патент)</t>
  </si>
  <si>
    <t>G31_1 (Наименование и характеристики товаров)</t>
  </si>
  <si>
    <t>TOVG (Информация о товаре из "Приложений")</t>
  </si>
  <si>
    <t>G31_7 (Кол-во товара в доп.ед.)</t>
  </si>
  <si>
    <t>G31_71 (Доп.ед.)</t>
  </si>
  <si>
    <t>G34 (Код страны происхождения)</t>
  </si>
  <si>
    <t>G31_13 (Страна происхождения)</t>
  </si>
  <si>
    <t>G33 (Код товара по ТН ВЭД)</t>
  </si>
  <si>
    <t>G35 (Вес брутто, кг)</t>
  </si>
  <si>
    <t>G38 (Вес нетто, кг)</t>
  </si>
  <si>
    <t>G42 (Фактурная стоимость)</t>
  </si>
  <si>
    <t>G45 (Таможенная стоимость)</t>
  </si>
  <si>
    <t>G46 (Статистическая стоимость, USD.)</t>
  </si>
  <si>
    <t>G25 (Вид транспорта на границе)</t>
  </si>
  <si>
    <t>G25_NAM (Вид транспорта на границе - расшифровка)</t>
  </si>
  <si>
    <t>G26 (Вид транспорта внутри страны)</t>
  </si>
  <si>
    <t>G26_NAM (Вид транспорта внутри страны - расшифровка)</t>
  </si>
  <si>
    <t>57507/010126/0000003</t>
  </si>
  <si>
    <t>57507/010126/0000003/001</t>
  </si>
  <si>
    <t>ИМ</t>
  </si>
  <si>
    <t>QUANZHOU WELLDONE IMP AND EXP TRADE CO.,LTD</t>
  </si>
  <si>
    <t>КИТАЙ, JINJIANG,CENTURY AVENUE MEILING 888, COMPLEX BUILDING 3, А1003 А1005</t>
  </si>
  <si>
    <t>TOO ELITE BABY PRODUCTION</t>
  </si>
  <si>
    <t>КАЗАХСТАН, ПАНФИЛОВСКИЙ РАЙОН, СЕЛО АТАМЕКЕН,  85, 1337</t>
  </si>
  <si>
    <t>CN</t>
  </si>
  <si>
    <t>КИТАЙ</t>
  </si>
  <si>
    <t>KZ</t>
  </si>
  <si>
    <t>КАЗАХСТАН</t>
  </si>
  <si>
    <t>EXW</t>
  </si>
  <si>
    <t>XIAMEN</t>
  </si>
  <si>
    <t>QUANZHOU WELLDONE IMP AND EXP TRADE CO.,LTD;</t>
  </si>
  <si>
    <t>QUANZHOU WELLDONE IMP AND EXP TRADE CO.,LTD/ОТСУТСТВУЕТ</t>
  </si>
  <si>
    <t>1. ЦЕЛЛЮЛОЗА ДЛЯ ПРОИЗВОДCТВА ПОДГУЗНИКОВ,</t>
  </si>
  <si>
    <t>:; ПРОИЗВОДИТЕЛЬ: QUANZHOU WELLDONE IMP AND EXP TRADE CO.,LTD; ТОВАРНЫЙ ЗНАК: QUANZHOU WELLDONE IMP AND EXP TRADE CO.,LTD; МАРКА ТОВАРА: ОТСУТСТВУЕТ; , КОЛИЧЕСТВО: 25869.00 КГ;</t>
  </si>
  <si>
    <t>КИЛОГРАММ СУХОГО НА 90 % ВЕЩЕСТВА</t>
  </si>
  <si>
    <t>Автотранспорт грузовой</t>
  </si>
  <si>
    <t>57504/020126/1000001</t>
  </si>
  <si>
    <t>57504/020126/1000001/001</t>
  </si>
  <si>
    <t>COMPANIA ELECTRO METALURGICA S.A</t>
  </si>
  <si>
    <t>ЧИЛИ, PROVIDENCIA SANTIAGO, CHILE, AV. ANDRES BELLO 2233.</t>
  </si>
  <si>
    <t>ТОО KAZ MINERALS AKTOGAY (КАЗ МИНЕРАЛЗ АКТОГАЙ)</t>
  </si>
  <si>
    <t>КАЗАХСТАН, ОБЛ. АБАЙ, АЯГОЗСКИЙ Р-Н, П. АКТОГАЙ, ПРОМ. ЗОНА КАЗ МИНЕРАЛЗ АКТОГАЙ, Д.27</t>
  </si>
  <si>
    <t>CL</t>
  </si>
  <si>
    <t>ЧИЛИ</t>
  </si>
  <si>
    <t>FCA</t>
  </si>
  <si>
    <t>CHANGSHU</t>
  </si>
  <si>
    <t>ME ELECMETAL;</t>
  </si>
  <si>
    <t>ОТСУТСТВУЕТ/ME ELECMETAL</t>
  </si>
  <si>
    <t>1. ШАР КОВАНЫЙ 140MM СКВОЗНОЙ ЗАКАЛКИ, ТВЕРДОСТЬ ПОВЕРХНОСТИ -54-60 HRC, ОБЪЕМНАЯ ПЛОТНОСТЬ 54-60  HRC, КОД МАТЕРИАЛА: 176381,</t>
  </si>
  <si>
    <t>ИСПОЛЬЗУЕТСЯ В ГОРНОДОБЫВАЮЩЕЙ ПРОМЫШЛЕННОСТИ; ПРОИЗВОДИТЕЛЬ: ME ELECMETAL; ТОВАРНЫЙ ЗНАК: ОТСУТСТВУЕТ; МАРКА ТОВАРА: ME ELECMETAL; , КОЛИЧЕСТВО: 416.00 Т;</t>
  </si>
  <si>
    <t>Железнодорожный транспорт</t>
  </si>
  <si>
    <t>57504/020126/1000002</t>
  </si>
  <si>
    <t>57504/020126/1000002/001</t>
  </si>
  <si>
    <t>ТОО KAZ MINERALS BOZSHAKOL (КАЗ МИНЕРАЛЗ БОЗШАКОЛЬ)</t>
  </si>
  <si>
    <t>КАЗАХСТАН, ПАВЛОДАРСКАЯ ОБЛАСТЬ, Г. ЭКИБАСТУЗ, С. ТОРТ-КУДУК, Д. ЗДАНИЕ 13</t>
  </si>
  <si>
    <t>ME ELECMETAL</t>
  </si>
  <si>
    <t>1. ШАР: 140MM КОВАНЫЕ СРЕДСТВА ДРОБЛЕНИЯ ДЛЯ МЕЛЬНИЦЫ ПСИ , КОД МАТЕРИАЛА: 176381,</t>
  </si>
  <si>
    <t>СРЕДСТВА ДРОБЛЕНИЯ МЕЛЬНИЦЫ ПСИ, ИСПОЛЬЗУЕТСЯ В ГОРНОДОБЫВАЮЩЕЙ ПРОМЫШЛЕННОСТИ; ПРОИЗВОДИТЕЛЬ: ME ELECMETAL; ТОВАРНЫЙ ЗНАК: ME ELECMETAL; МАРКА ТОВАРА: ME ELECMETAL; , КОЛИЧЕСТВО: 208.00 Т;</t>
  </si>
  <si>
    <t>57504/020126/1000003</t>
  </si>
  <si>
    <t>57504/020126/1000003/001</t>
  </si>
  <si>
    <t>КАЗАХСТАН, АЯГОЗСКИЙ Р-Н, АКТОГАЙСКИЙ ПОС.ОКР., П. АКТОГАЙ, ПРОМ.ЗОНА КАЗ МИНЕРАЛЗ АКТОГАЙ, Д.27</t>
  </si>
  <si>
    <t>1. ШАР: КОВАНЫЙ ДИАМЕТРОМ 140ММ СКВОЗНОЙ ЗАКАЛКИ, ТВЕРДОСТЬ ПОВЕРХНОСТИ -54-60 HRC, ОБЪЕМНАЯ  ПЛОТНОСТЬ 54-60 HRC, КОД МАТЕРИАЛА 176381,</t>
  </si>
  <si>
    <t>СРЕДСТВА ДРОБЛЕНИЯ МЕЛЬНИЦЫ ПСИ, ИСПОЛЬЗУЕТСЯ В ГОРНОДОБЫВАЮЩЕЙ ПРОМЫШЛЕННОСТИ; ПРОИЗВОДИТЕЛЬ: ME ELECMETAL; ТОВАРНЫЙ ЗНАК: ОТСУТСТВУЕТ; МАРКА ТОВАРА: ME ELECMETAL; , КОЛИЧЕСТВО: 676.00 Т;</t>
  </si>
  <si>
    <t>55403/030126/0000035</t>
  </si>
  <si>
    <t>55403/030126/0000035/001</t>
  </si>
  <si>
    <t>КПП «КАЛЖАТ»  Т/П «АЛТЫНКОЛЬ» Департамента государственных доходов по Алматинской области</t>
  </si>
  <si>
    <t>QUANZHOU TIANJIAO LADY&amp;BABY'S HYGIENE SUPPLY CO., LTD</t>
  </si>
  <si>
    <t>КИТАЙ, QUANZHOU.FUJIAN, ECONOMIC AREA. LUOJIANG.</t>
  </si>
  <si>
    <t>ТОО TAKI.KZ</t>
  </si>
  <si>
    <t>КАЗАХСТАН, Г.АЛМАТЫ, УЛ.БУЛКУШЕВА, 9А</t>
  </si>
  <si>
    <t>QUANZHOU</t>
  </si>
  <si>
    <t>QUANZHOU TIANJIAO LADY &amp;amp; BABY‘S HYGIENE SUPPLY CO., LTD;</t>
  </si>
  <si>
    <t>TOMIKO</t>
  </si>
  <si>
    <t>1. ДЕТСКИЕ ПОДГУЗНИКИ /TOMIKO BABY DIAPERS 50 064 ПАЧЕК,</t>
  </si>
  <si>
    <t>ДЕТСКИЕ ПОДГУЗНИКИ /TOMIKO BABY DIAPERS 50 064 ПАЧЕК; ПРОИЗВОДИТЕЛЬ: QUANZHOU TIANJIAO LADY &amp;AMP; BABY‘S HYGIENE SUPPLY CO., LTD; ТОВАРНЫЙ ЗНАК: TOMIKO; МАРКА ТОВАРА: TOMIKO; , КОЛИЧЕСТВО: 50064.00 ШТ;</t>
  </si>
  <si>
    <t>55403/030126/0000035/002</t>
  </si>
  <si>
    <t>1. ДЕТСКИЕ ПОДГУЗНИКИ /TOMIKO BABY DIAPERS 16 320 ПАЧЕК,</t>
  </si>
  <si>
    <t>ДЕТСКИЕ ПОДГУЗНИКИ /TOMIKO BABY DIAPERS 16 320 ПАЧЕК; ПРОИЗВОДИТЕЛЬ: QUANZHOU TIANJIAO LADY &amp;AMP; BABY‘S HYGIENE SUPPLY CO., LTD; ТОВАРНЫЙ ЗНАК: TOMIKO; МАРКА ТОВАРА: TOMIKO; , КОЛИЧЕСТВО: 16320.00 ШТ;</t>
  </si>
  <si>
    <t>55403/030126/0000035/003</t>
  </si>
  <si>
    <t>1. ДЕТСКИЕ ПЕЛЕНКИ / TOMIKO UNDER PAD 90 080 ПАЧЕК,</t>
  </si>
  <si>
    <t>ДЕТСКИЕ ПЕЛЕНКИ / TOMIKO UNDER PAD 90 080 ПАЧЕК; ПРОИЗВОДИТЕЛЬ: QUANZHOU TIANJIAO LADY &amp;AMP; BABY‘S HYGIENE SUPPLY CO., LTD; ТОВАРНЫЙ ЗНАК: TOMIKO; МАРКА ТОВАРА: TOMIKO; , КОЛИЧЕСТВО: 90080.00 ШТ;</t>
  </si>
  <si>
    <t>55403/030126/0000035/004</t>
  </si>
  <si>
    <t>1. ДЕТСКИЕ ПЕЛЕНКИ / TOMIKO UNDER PAD 128 080 ПАЧЕК,</t>
  </si>
  <si>
    <t>ДЕТСКИЕ ПЕЛЕНКИ / TOMIKO UNDER PAD 128 080 ПАЧЕК; ПРОИЗВОДИТЕЛЬ: QUANZHOU TIANJIAO LADY &amp;AMP; BABY‘S HYGIENE SUPPLY CO., LTD; ТОВАРНЫЙ ЗНАК: TOMIKO; МАРКА ТОВАРА: TOMIKO; , КОЛИЧЕСТВО: 128080.00 ШТ;</t>
  </si>
  <si>
    <t>57505/030126/1000069</t>
  </si>
  <si>
    <t>57505/030126/1000069/001</t>
  </si>
  <si>
    <t>SHANDONG LINGONG CONSTRUCTION MACHINERY CO., LTD</t>
  </si>
  <si>
    <t>КИТАЙ, LINYI, SHANDONG,</t>
  </si>
  <si>
    <t>ТОО SEVALO ENGINEERING MACHINERY KAZAKHSTAN (СЕВАЛО ИНЖИНИРИНГ МАШИНЕРИ КАЗАХСТАН)</t>
  </si>
  <si>
    <t>КАЗАХСТАН, ТУРКСИБСКИЙ РАЙОН, УЛ. БУХТАРМИНСКАЯ 4/1</t>
  </si>
  <si>
    <t>FOB</t>
  </si>
  <si>
    <t>KHORGOS</t>
  </si>
  <si>
    <t>;</t>
  </si>
  <si>
    <t>1. ГРЕЙДЕР НОВЫЙ ЗИП ЯЩИК В КОМПЛЕКТЕ, ПРОИЗВОДИТЕЛЬ: SHANDONG LINGONG CONSTRUCTION MACHINERY CO.,  LTD, МАРКА: SDLG, МОДЕЛЬ: G9220F, ОБЪЕМ ДВИГАТЕЛЯ: 7146, МОЩНОСТЬ: 165 КВТ, VIN КОД  VLGG922FAS0600939, ТИП ДВИГАТЕЛЯ- ДИЗЕЛЬНЫЙ, НОМЕР ДВИГАТЕЛЯ: 60827481</t>
  </si>
  <si>
    <t>, КОЛИЧЕСТВО: 0.00 ;</t>
  </si>
  <si>
    <t>ШТУКА</t>
  </si>
  <si>
    <t>Самодвижущиеся средства (транспортные средства, перемещаемые в качестве товара)</t>
  </si>
  <si>
    <t>57505/030126/1000069/002</t>
  </si>
  <si>
    <t>1. ГРЕЙДЕР НОВЫЙ ЗИП ЯЩИК В КОМПЛЕКТЕ, ПРОИЗВОДИТЕЛЬ: SHANDONG LINGONG CONSTRUCTION MACHINERY CO.,  LTD, МАРКА: SDLG, МОДЕЛЬ: G9220F, ОБЪЕМ ДВИГАТЕЛЯ: 7146, МОЩНОСТЬ: 165 КВТ, VIN КОД  VLGG922FCS0600940, ТИП ДВИГАТЕЛЯ- ДИЗЕЛЬНЫЙ, НОМЕР ДВИГАТЕЛЯ: 60827482</t>
  </si>
  <si>
    <t>57505/030126/1000069/003</t>
  </si>
  <si>
    <t>1. ГРЕЙДЕР НОВЫЙ ЗИП ЯЩИК В КОМПЛЕКТЕ, ПРОИЗВОДИТЕЛЬ: SHANDONG LINGONG CONSTRUCTION MACHINERY CO.,  LTD, МАРКА: SDLG, МОДЕЛЬ: G9220F, ОБЪЕМ ДВИГАТЕЛЯ: 7146, МОЩНОСТЬ: 165 КВТ, VIN КОД  VLGG922FVS0600941, ТИП ДВИГАТЕЛЯ- ДИЗЕЛЬНЫЙ, НОМЕР ДВИГАТЕЛЯ: 60827484</t>
  </si>
  <si>
    <t>57505/030126/1000070</t>
  </si>
  <si>
    <t>57505/030126/1000070/001</t>
  </si>
  <si>
    <t>КИТАЙ, LINYI, ECONOMIC DEVELOPMENT ZONE</t>
  </si>
  <si>
    <t>SHANDONG LINGONG CONSTRUCTION MACHINERY CO., LTD;</t>
  </si>
  <si>
    <t>SDLG</t>
  </si>
  <si>
    <t>1. ДОРОЖНЫЙ КАТОК НОВЫЙ (ЗИП ЯЩИК В КОМПЛЕКТЕ), ПРОИЗВОДИТЕЛЬ: SHANDONG LINGONG CONSTRUCTION  MACHINERY CO., LTD, МАРКА: SDLG, МОДЕЛЬ: RS8180H, VIN КОД№ VLGR818HKS0620150, ТИП ДВИГАТЕЛЯ-  ДИЗЕЛЬНЫЙ, НОМЕР ДВИГАТЕЛЯ: 6P25E010285, ГОД ВЫПУСКА: 2025 ГОД,</t>
  </si>
  <si>
    <t>ДОРОЖНЫЙ КАТОК НОВЫЙ (ЗИП ЯЩИК В КОМПЛЕКТЕ), ПРОИЗВОДИТЕЛЬ: SHANDONG LINGONG CONSTRUCTION MACHINERY CO., LTD, МАРКА: SDLG, МОДЕЛЬ: RS8180H, VIN КОД№ VLGR818HKS0620150, ТИП ДВИГАТЕЛЯ- ДИЗЕЛЬНЫЙ, НОМЕР ДВИГАТЕЛЯ: 6P25E010285, ГОД ВЫПУСКА: 2025 ГОД; ПРОИЗВОДИТЕЛЬ: SHANDONG LINGONG CONSTRUCTION MACHINERY CO., LTD; ТОВАРНЫЙ ЗНАК: SDLG; МАРКА ТОВАРА: SDLG; , КОЛИЧЕСТВО: 1.00 ШТ;</t>
  </si>
  <si>
    <t>57505/030126/1000070/002</t>
  </si>
  <si>
    <t>1. ДОРОЖНЫЙ КАТОК НОВЫЙ (ЗИП ЯЩИК В КОМПЛЕКТЕ), ПРОИЗВОДИТЕЛЬ: SHANDONG LINGONG CONSTRUCTION  MACHINERY CO., LTD, МАРКА: SDLG, МОДЕЛЬ: RS8180H, VIN КОД№ VLGR818HJS0620151, ТИП ДВИГАТЕЛЯ-  ДИЗЕЛЬНЫЙ, НОМЕР ДВИГАТЕЛЯ: 6P25E009903, ГОД ВЫПУСКА: 2025 ГОД,</t>
  </si>
  <si>
    <t>ДОРОЖНЫЙ КАТОК НОВЫЙ (ЗИП ЯЩИК В КОМПЛЕКТЕ), ПРОИЗВОДИТЕЛЬ: SHANDONG LINGONG CONSTRUCTION MACHINERY CO., LTD, МАРКА: SDLG, МОДЕЛЬ: RS8180H, VIN КОД№ VLGR818HJS0620151, ТИП ДВИГАТЕЛЯ- ДИЗЕЛЬНЫЙ, НОМЕР ДВИГАТЕЛЯ: 6P25E009903, ГОД ВЫПУСКА: 2025 ГОД; ПРОИЗВОДИТЕЛЬ: SHANDONG LINGONG CONSTRUCTION MACHINERY CO., LTD; ТОВАРНЫЙ ЗНАК: SDLG; МАРКА ТОВАРА: SDLG; , КОЛИЧЕСТВО: 1.00 ШТ;</t>
  </si>
  <si>
    <t>57505/030126/1000070/003</t>
  </si>
  <si>
    <t>1. ДОРОЖНЫЙ КАТОК НОВЫЙ (ЗИП ЯЩИК В КОМПЛЕКТЕ), ПРОИЗВОДИТЕЛЬ: SHANDONG LINGONG CONSTRUCTION  MACHINERY CO., LTD, МАРКА: SDLG, МОДЕЛЬ: RS8180H, VIN КОД№ VLGR818HCS0620152, ТИП ДВИГАТЕЛЯ-  ДИЗЕЛЬНЫЙ, НОМЕР ДВИГАТЕЛЯ: 6P25E009901, ГОД ВЫПУСКА: 2025 ГОД,</t>
  </si>
  <si>
    <t>ДОРОЖНЫЙ КАТОК НОВЫЙ (ЗИП ЯЩИК В КОМПЛЕКТЕ), ПРОИЗВОДИТЕЛЬ: SHANDONG LINGONG CONSTRUCTION MACHINERY CO., LTD, МАРКА: SDLG, МОДЕЛЬ: RS8180H, VIN КОД№ VLGR818HCS0620152, ТИП ДВИГАТЕЛЯ- ДИЗЕЛЬНЫЙ, НОМЕР ДВИГАТЕЛЯ: 6P25E009901, ГОД ВЫПУСКА: 2025 ГОД; ПРОИЗВОДИТЕЛЬ: SHANDONG LINGONG CONSTRUCTION MACHINERY CO., LTD; ТОВАРНЫЙ ЗНАК: SDLG; МАРКА ТОВАРА: SDLG; , КОЛИЧЕСТВО: 1.00 ШТ;</t>
  </si>
  <si>
    <t>57505/030126/1000070/004</t>
  </si>
  <si>
    <t>1. ДОРОЖНЫЙ КАТОК НОВЫЙ (ЗИП ЯЩИК В КОМПЛЕКТЕ), ПРОИЗВОДИТЕЛЬ: SHANDONG LINGONG CONSTRUCTION  MACHINERY CO., LTD, МАРКА: SDLG, МОДЕЛЬ: RS8180H, VIN КОД№ VLGR818HVS0620153, ТИП ДВИГАТЕЛЯ-  ДИЗЕЛЬНЫЙ, НОМЕР ДВИГАТЕЛЯ: 6P25E009899, ГОД ВЫПУСКА: 2025 ГОД,</t>
  </si>
  <si>
    <t>ДОРОЖНЫЙ КАТОК НОВЫЙ (ЗИП ЯЩИК В КОМПЛЕКТЕ), ПРОИЗВОДИТЕЛЬ: SHANDONG LINGONG CONSTRUCTION MACHINERY CO., LTD, МАРКА: SDLG, МОДЕЛЬ: RS8180H, VIN КОД№ VLGR818HVS0620153, ТИП ДВИГАТЕЛЯ- ДИЗЕЛЬНЫЙ, НОМЕР ДВИГАТЕЛЯ: 6P25E009899, ГОД ВЫПУСКА: 2025 ГОД; ПРОИЗВОДИТЕЛЬ: SHANDONG LINGONG CONSTRUCTION MACHINERY CO., LTD; ТОВАРНЫЙ ЗНАК: SDLG; МАРКА ТОВАРА: SDLG; , КОЛИЧЕСТВО: 1.00 ШТ;</t>
  </si>
  <si>
    <t>57505/030126/1000070/005</t>
  </si>
  <si>
    <t>1. ДОРОЖНЫЙ КАТОК НОВЫЙ (ЗИП ЯЩИК В КОМПЛЕКТЕ), ПРОИЗВОДИТЕЛЬ: SHANDONG LINGONG CONSTRUCTION  MACHINERY CO., LTD, МАРКА: SDLG, МОДЕЛЬ: RS8180H, VIN КОД№ VLGR818HAS0620154, ТИП ДВИГАТЕЛЯ-  ДИЗЕЛЬНЫЙ, НОМЕР ДВИГАТЕЛЯ: 6P25E009902, ГОД ВЫПУСКА: 2025 ГОД,</t>
  </si>
  <si>
    <t>ДОРОЖНЫЙ КАТОК НОВЫЙ (ЗИП ЯЩИК В КОМПЛЕКТЕ), ПРОИЗВОДИТЕЛЬ: SHANDONG LINGONG CONSTRUCTION MACHINERY CO., LTD, МАРКА: SDLG, МОДЕЛЬ: RS8180H, VIN КОД№ VLGR818HAS0620154, ТИП ДВИГАТЕЛЯ- ДИЗЕЛЬНЫЙ, НОМЕР ДВИГАТЕЛЯ: 6P25E009902, ГОД ВЫПУСКА: 2025 ГОД; ПРОИЗВОДИТЕЛЬ: SHANDONG LINGONG CONSTRUCTION MACHINERY CO., LTD; ТОВАРНЫЙ ЗНАК: SDLG; МАРКА ТОВАРА: SDLG; , КОЛИЧЕСТВО: 1.00 ШТ;</t>
  </si>
  <si>
    <t>57505/030126/1000072</t>
  </si>
  <si>
    <t>57505/030126/1000072/001</t>
  </si>
  <si>
    <t>1. ДОРОЖНЫЙ КАТОК НОВЫЙ (ЗИП ЯЩИК В КОМПЛЕКТЕ), ПРОИЗВОДИТЕЛЬ: SHANDONG LINGONG CONSTRUCTION  MACHINERY CO., LTD, МАРКА: SDLG, МОДЕЛЬ: RS8160H, VIN КОД№ VLGR816HJS0620007, ТИП ДВИГАТЕЛЯ-  ДИЗЕЛЬНЫЙ, НОМЕР ДВИГАТЕЛЯ: 6P25E010291, ГОД ВЫПУСКА: 2025 ГОД,</t>
  </si>
  <si>
    <t>ДОРОЖНЫЙ КАТОК НОВЫЙ (ЗИП ЯЩИК В КОМПЛЕКТЕ), ПРОИЗВОДИТЕЛЬ: SHANDONG LINGONG CONSTRUCTION MACHINERY CO., LTD, МАРКА: SDLG, МОДЕЛЬ: RS8160H, VIN КОД№ VLGR816HJS0620007, ТИП ДВИГАТЕЛЯ- ДИЗЕЛЬНЫЙ, НОМЕР ДВИГАТЕЛЯ: 6P25E010291, ГОД ВЫПУСКА: 2025 ГОД; ПРОИЗВОДИТЕЛЬ: SHANDONG LINGONG CONSTRUCTION MACHINERY CO., LTD; ТОВАРНЫЙ ЗНАК: SDLG; МАРКА ТОВАРА: SDLG; , КОЛИЧЕСТВО: 1.00 ШТ;</t>
  </si>
  <si>
    <t>57505/030126/1000072/002</t>
  </si>
  <si>
    <t>1. ДОРОЖНЫЙ КАТОК НОВЫЙ (ЗИП ЯЩИК В КОМПЛЕКТЕ), ПРОИЗВОДИТЕЛЬ: SHANDONG LINGONG CONSTRUCTION  MACHINERY CO., LTD, МАРКА: SDLG, МОДЕЛЬ: RS8160H, VIN КОД№ VLGR816HCS0620008, ТИП ДВИГАТЕЛЯ-  ДИЗЕЛЬНЫЙ, НОМЕР ДВИГАТЕЛЯ: 6P25E010286, ГОД ВЫПУСКА: 2025 ГОД,</t>
  </si>
  <si>
    <t>ДОРОЖНЫЙ КАТОК НОВЫЙ (ЗИП ЯЩИК В КОМПЛЕКТЕ), ПРОИЗВОДИТЕЛЬ: SHANDONG LINGONG CONSTRUCTION MACHINERY CO., LTD, МАРКА: SDLG, МОДЕЛЬ: RS8160H, VIN КОД№ VLGR816HCS0620008, ТИП ДВИГАТЕЛЯ- ДИЗЕЛЬНЫЙ, НОМЕР ДВИГАТЕЛЯ: 6P25E010286, ГОД ВЫПУСКА: 2025 ГОД; ПРОИЗВОДИТЕЛЬ: SHANDONG LINGONG CONSTRUCTION MACHINERY CO., LTD; ТОВАРНЫЙ ЗНАК: SDLG; МАРКА ТОВАРА: SDLG; , КОЛИЧЕСТВО: 1.00 ШТ;</t>
  </si>
  <si>
    <t>57505/030126/1000072/003</t>
  </si>
  <si>
    <t>1. ДОРОЖНЫЙ КАТОК НОВЫЙ (ЗИП ЯЩИК В КОМПЛЕКТЕ), ПРОИЗВОДИТЕЛЬ: SHANDONG LINGONG CONSTRUCTION  MACHINERY CO., LTD, МАРКА: SDLG, МОДЕЛЬ: RS8160H, VIN КОД№ VLGR816HVS0620009, ТИП ДВИГАТЕЛЯ-  ДИЗЕЛЬНЫЙ, НОМЕР ДВИГАТЕЛЯ: 6P25E011183, ГОД ВЫПУСКА: 2025 ГОД,</t>
  </si>
  <si>
    <t>ДОРОЖНЫЙ КАТОК НОВЫЙ (ЗИП ЯЩИК В КОМПЛЕКТЕ), ПРОИЗВОДИТЕЛЬ: SHANDONG LINGONG CONSTRUCTION MACHINERY CO., LTD, МАРКА: SDLG, МОДЕЛЬ: RS8160H, VIN КОД№ VLGR816HVS0620009, ТИП ДВИГАТЕЛЯ- ДИЗЕЛЬНЫЙ, НОМЕР ДВИГАТЕЛЯ: 6P25E011183, ГОД ВЫПУСКА: 2025 ГОД; ПРОИЗВОДИТЕЛЬ: SHANDONG LINGONG CONSTRUCTION MACHINERY CO., LTD; ТОВАРНЫЙ ЗНАК: SDLG; МАРКА ТОВАРА: SDLG; , КОЛИЧЕСТВО: 1.00 ШТ;</t>
  </si>
  <si>
    <t>57505/030126/1000072/004</t>
  </si>
  <si>
    <t>1. ДОРОЖНЫЙ КАТОК НОВЫЙ (ЗИП ЯЩИК В КОМПЛЕКТЕ), ПРОИЗВОДИТЕЛЬ: SHANDONG LINGONG CONSTRUCTION  MACHINERY CO., LTD, МАРКА: SDLG, МОДЕЛЬ: RS8160H, VIN КОД№ VLGR816HJS0620010, ТИП ДВИГАТЕЛЯ-  ДИЗЕЛЬНЫЙ, НОМЕР ДВИГАТЕЛЯ: 6P25E011179, ГОД ВЫПУСКА: 2025 ГОД,</t>
  </si>
  <si>
    <t>ДОРОЖНЫЙ КАТОК НОВЫЙ (ЗИП ЯЩИК В КОМПЛЕКТЕ), ПРОИЗВОДИТЕЛЬ: SHANDONG LINGONG CONSTRUCTION MACHINERY CO., LTD, МАРКА: SDLG, МОДЕЛЬ: RS8160H, VIN КОД№ VLGR816HJS0620010, ТИП ДВИГАТЕЛЯ- ДИЗЕЛЬНЫЙ, НОМЕР ДВИГАТЕЛЯ: 6P25E011179, ГОД ВЫПУСКА: 2025 ГОД; ПРОИЗВОДИТЕЛЬ: SHANDONG LINGONG CONSTRUCTION MACHINERY CO., LTD; ТОВАРНЫЙ ЗНАК: SDLG; МАРКА ТОВАРА: SDLG; , КОЛИЧЕСТВО: 1.00 ШТ;</t>
  </si>
  <si>
    <t>57505/030126/1000072/005</t>
  </si>
  <si>
    <t>1. ДОРОЖНЫЙ КАТОК НОВЫЙ (ЗИП ЯЩИК В КОМПЛЕКТЕ), ПРОИЗВОДИТЕЛЬ: SHANDONG LINGONG CONSTRUCTION  MACHINERY CO., LTD, МАРКА: SDLG, МОДЕЛЬ: RS8160H, VIN КОД№ VLGR816HCS0620011, ТИП ДВИГАТЕЛЯ-  ДИЗЕЛЬНЫЙ, НОМЕР ДВИГАТЕЛЯ: 6P25E011180, ГОД ВЫПУСКА: 2025 ГОД,</t>
  </si>
  <si>
    <t>ДОРОЖНЫЙ КАТОК НОВЫЙ (ЗИП ЯЩИК В КОМПЛЕКТЕ), ПРОИЗВОДИТЕЛЬ: SHANDONG LINGONG CONSTRUCTION MACHINERY CO., LTD, МАРКА: SDLG, МОДЕЛЬ: RS8160H, VIN КОД№ VLGR816HCS0620011, ТИП ДВИГАТЕЛЯ- ДИЗЕЛЬНЫЙ, НОМЕР ДВИГАТЕЛЯ: 6P25E011180, ГОД ВЫПУСКА: 2025 ГОД; ПРОИЗВОДИТЕЛЬ: SHANDONG LINGONG CONSTRUCTION MACHINERY CO., LTD; ТОВАРНЫЙ ЗНАК: SDLG; МАРКА ТОВАРА: SDLG; , КОЛИЧЕСТВО: 1.00 ШТ;</t>
  </si>
  <si>
    <t>55411/040126/0000004</t>
  </si>
  <si>
    <t>55411/040126/0000004/001</t>
  </si>
  <si>
    <t>ZHONGSHAN HANBANG ELECTRIC APPLIANCE CO.LTD.</t>
  </si>
  <si>
    <t>КИТАЙ, ZHONGSHAN, NO.2, SHANGYI RD, NANTOU TOWN</t>
  </si>
  <si>
    <t>КАЗАХСТАН, КАРАСАЙСКИЙ РАЙОН ЕЛТАЙСКИЙ С.О., С.ЖАРМУХАМБЕТ, УЧЕТНЫЙ КВАРТАЛ 034, СТРОЕНИЕ 573</t>
  </si>
  <si>
    <t>JAINGSU</t>
  </si>
  <si>
    <t>ZHONGSHAN HANBANG ELECTRIC APPLIANCE CO.LTD.;</t>
  </si>
  <si>
    <t>ZHONGSHAN HANBANG ELECTRIC APPLIANCE CO.LTD./ZHONGSHAN HANBANG</t>
  </si>
  <si>
    <t>1. БОКОВАЯ ПАНЕЛЬ ДУХОВКИ,</t>
  </si>
  <si>
    <t>БОКОВАЯ ПАНЕЛЬ ДУХОВКИ; ПРОИЗВОДИТЕЛЬ: ZHONGSHAN HANBANG ELECTRIC APPLIANCE CO.LTD.; ТОВАРНЫЙ ЗНАК: ZHONGSHAN HANBANG ELECTRIC APPLIANCE CO.LTD.; МАРКА ТОВАРА: ZHONGSHAN HANBANG; , КОЛИЧЕСТВО: 580.00 ШТ;</t>
  </si>
  <si>
    <t>55411/040126/0000004/002</t>
  </si>
  <si>
    <t>БОКОВАЯ ПАНЕЛЬ ДУХОВКИ; ПРОИЗВОДИТЕЛЬ: ZHONGSHAN HANBANG ELECTRIC APPLIANCE CO.LTD.; ТОВАРНЫЙ ЗНАК: ZHONGSHAN HANBANG ELECTRIC APPLIANCE CO.LTD.; МАРКА ТОВАРА: ZHONGSHAN HANBANG; , КОЛИЧЕСТВО: 564.00 ШТ;</t>
  </si>
  <si>
    <t>55411/040126/0000004/003</t>
  </si>
  <si>
    <t>БОКОВАЯ ПАНЕЛЬ ДУХОВКИ; ПРОИЗВОДИТЕЛЬ: ZHONGSHAN HANBANG ELECTRIC APPLIANCE CO.LTD.; ТОВАРНЫЙ ЗНАК: ZHONGSHAN HANBANG ELECTRIC APPLIANCE CO.LTD.; МАРКА ТОВАРА: ZHONGSHAN HANBANG; , КОЛИЧЕСТВО: 364.00 ШТ;</t>
  </si>
  <si>
    <t>55411/040126/0000004/004</t>
  </si>
  <si>
    <t>БОКОВАЯ ПАНЕЛЬ ДУХОВКИ; ПРОИЗВОДИТЕЛЬ: ZHONGSHAN HANBANG ELECTRIC APPLIANCE CO.LTD.; ТОВАРНЫЙ ЗНАК: ZHONGSHAN HANBANG ELECTRIC APPLIANCE CO.LTD.; МАРКА ТОВАРА: ZHONGSHAN HANBANG; , КОЛИЧЕСТВО: 492.00 ШТ;</t>
  </si>
  <si>
    <t>55411/040126/0000004/005</t>
  </si>
  <si>
    <t>1. ВЕРХНЯЯ ПАНЕЛЬ ДУХОВКИ,</t>
  </si>
  <si>
    <t>ВЕРХНЯЯ ПАНЕЛЬ ДУХОВКИ; ПРОИЗВОДИТЕЛЬ: ZHONGSHAN HANBANG ELECTRIC APPLIANCE CO.LTD.; ТОВАРНЫЙ ЗНАК: ZHONGSHAN HANBANG ELECTRIC APPLIANCE CO.LTD.; МАРКА ТОВАРА: ZHONGSHAN HANBANG; , КОЛИЧЕСТВО: 620.00 ШТ;</t>
  </si>
  <si>
    <t>55411/040126/0000004/006</t>
  </si>
  <si>
    <t>ВЕРХНЯЯ ПАНЕЛЬ ДУХОВКИ; ПРОИЗВОДИТЕЛЬ: ZHONGSHAN HANBANG ELECTRIC APPLIANCE CO.LTD.; ТОВАРНЫЙ ЗНАК: ZHONGSHAN HANBANG ELECTRIC APPLIANCE CO.LTD.; МАРКА ТОВАРА: ZHONGSHAN HANBANG; , КОЛИЧЕСТВО: 590.00 ШТ;</t>
  </si>
  <si>
    <t>55411/040126/0000004/007</t>
  </si>
  <si>
    <t>ВЕРХНЯЯ ПАНЕЛЬ ДУХОВКИ; ПРОИЗВОДИТЕЛЬ: ZHONGSHAN HANBANG ELECTRIC APPLIANCE CO.LTD.; ТОВАРНЫЙ ЗНАК: ZHONGSHAN HANBANG ELECTRIC APPLIANCE CO.LTD.; МАРКА ТОВАРА: ZHONGSHAN HANBANG; , КОЛИЧЕСТВО: 680.00 ШТ;</t>
  </si>
  <si>
    <t>55411/040126/0000004/010</t>
  </si>
  <si>
    <t>1. ТЫЛЬНАЯ ПЛАНКА ДУХОВКИ,</t>
  </si>
  <si>
    <t>ТЫЛЬНАЯ ПЛАНКА ДУХОВКИ; ПРОИЗВОДИТЕЛЬ: ZHONGSHAN HANBANG ELECTRIC APPLIANCE CO.LTD.; ТОВАРНЫЙ ЗНАК: ZHONGSHAN HANBANG ELECTRIC APPLIANCE CO.LTD.; МАРКА ТОВАРА: ZHONGSHAN HANBANG; , КОЛИЧЕСТВО: 1814.00 ШТ;</t>
  </si>
  <si>
    <t>55302/040126/0000001</t>
  </si>
  <si>
    <t>55302/040126/0000001/097</t>
  </si>
  <si>
    <t>Т/П АЛМАТЫ-ЦЕНТР ТАМОЖЕННОГО ОФОРМЛЕНИЯ</t>
  </si>
  <si>
    <t>SINOTRUK INTERNATIONAL</t>
  </si>
  <si>
    <t>КИТАЙ, INNOVATION ZONE 14F &amp; 15F, № 777 HUA'AO ROAD</t>
  </si>
  <si>
    <t>ИП ЖАНАЛИ-2024</t>
  </si>
  <si>
    <t>КАЗАХСТАН, АУЕЗОВСКИЙ, ПРОСПЕКТ РАЙЫМБЕКА, 348/1, 43</t>
  </si>
  <si>
    <t>HORGOS</t>
  </si>
  <si>
    <t>SINOTRUK INTERNATIONAL;</t>
  </si>
  <si>
    <t>ОТСУТСВУЕТ</t>
  </si>
  <si>
    <t>1. НОВЫЕ ЗАПАСНЫЕ ЧАСТИ КАРЬЕРНЫХ САМОСВАЛОВ,ЗАДНЯЯ СТУПИЦА В СБОРЕ,</t>
  </si>
  <si>
    <t>НОВЫЕ ЗАПАСНЫЕ ЧАСТИ КАРЬЕРНЫХ САМОСВАЛОВ,ЗАДНЯЯ СТУПИЦА В СБОРЕ; ПРОИЗВОДИТЕЛЬ: SINOTRUK INTERNATIONAL; ТОВАРНЫЙ ЗНАК: ОТСУТСВУЕТ; , КОЛИЧЕСТВО: 15.00 ШТ;</t>
  </si>
  <si>
    <t>55302/040126/0000001/001</t>
  </si>
  <si>
    <t>1. НОВЫЕ ЗАПАСНЫЕ ЧАСТИ КАРЬЕРНЫХ САМОСВАЛОВ, ДЕМПФЕР,</t>
  </si>
  <si>
    <t>НОВЫЕ ЗАПАСНЫЕ ЧАСТИ КАРЬЕРНЫХ САМОСВАЛОВ, ДЕМПФЕР; ПРОИЗВОДИТЕЛЬ: SINOTRUK INTERNATIONAL; ТОВАРНЫЙ ЗНАК: ОТСУТСВУЕТ; , КОЛИЧЕСТВО: 76.00 ШТ;</t>
  </si>
  <si>
    <t>55302/040126/0000001/015</t>
  </si>
  <si>
    <t>1. НОВЫЕ ЗАПАСНЫЕ ЧАСТИ КАРЬЕРНЫХ САМОСВАЛОВ, HOWO ЛЕВОЕ СИДЕНЬЕ В СБОРЕ,</t>
  </si>
  <si>
    <t>НОВЫЕ ЗАПАСНЫЕ ЧАСТИ КАРЬЕРНЫХ САМОСВАЛОВ, HOWO ЛЕВОЕ СИДЕНЬЕ В СБОРЕ; ПРОИЗВОДИТЕЛЬ: SINOTRUK INTERNATIONAL; ТОВАРНЫЙ ЗНАК: ОТСУТСВУЕТ; , КОЛИЧЕСТВО: 19.00 ШТ;</t>
  </si>
  <si>
    <t>55302/040126/0000001/026</t>
  </si>
  <si>
    <t>1. НОВЫЕ ЗАПАСНЫЕ ЧАСТИ КАРЬЕРНЫХ САМОСВАЛОВ, СБОРКА КОЛЕСА 10,0/2,0-25,</t>
  </si>
  <si>
    <t>НОВЫЕ ЗАПАСНЫЕ ЧАСТИ КАРЬЕРНЫХ САМОСВАЛОВ, СБОРКА КОЛЕСА 10,0/2,0-25; ПРОИЗВОДИТЕЛЬ: SINOTRUK INTERNATIONAL; ТОВАРНЫЙ ЗНАК: ОТСУТСВУЕТ; , КОЛИЧЕСТВО: 10.00 ШТ;</t>
  </si>
  <si>
    <t>55302/040126/0000001/031</t>
  </si>
  <si>
    <t>1. НОВЫЕ ЗАПАСНЫЕ ЧАСТИ КАРЬЕРНЫХ САМОСВАЛОВ,НАЖИМНОЙ ДИСК СЦЕПЛЕНИЯ В СБОРЕ,</t>
  </si>
  <si>
    <t>НОВЫЕ ЗАПАСНЫЕ ЧАСТИ КАРЬЕРНЫХ САМОСВАЛОВ,НАЖИМНОЙ ДИСК СЦЕПЛЕНИЯ В СБОРЕ; ПРОИЗВОДИТЕЛЬ: SINOTRUK INTERNATIONAL; ТОВАРНЫЙ ЗНАК: ОТСУТСВУЕТ; , КОЛИЧЕСТВО: 29.00 ШТ;</t>
  </si>
  <si>
    <t>55302/040126/0000001/032</t>
  </si>
  <si>
    <t>1. НОВЫЕ ЗАПАСНЫЕ ЧАСТИ КАРЬЕРНЫХ САМОСВАЛОВ,КПП HW21712 (15.01, РАЗДВИЖНОЙ, ДВОЙНОЙ СТЕРЖЕНЬ,  ВЫСОКОТОНКИЙ ЗУБ, ЭЛЕКТРОМАГНИТНЫЕ ДАТЧИКИ, XS180,,</t>
  </si>
  <si>
    <t>НОВЫЕ ЗАПАСНЫЕ ЧАСТИ КАРЬЕРНЫХ САМОСВАЛОВ,КПП HW21712 (15.01, РАЗДВИЖНОЙ, ДВОЙНОЙ СТЕРЖЕНЬ, ВЫСОКОТОНКИЙ ЗУБ, ЭЛЕКТРОМАГНИТНЫЕ ДАТЧИКИ, XS180,; ПРОИЗВОДИТЕЛЬ: SINOTRUK INTERNATIONAL; ТОВАРНЫЙ ЗНАК: ОТСУТСВУЕТ; , КОЛИЧЕСТВО: 2.00 ШТ;</t>
  </si>
  <si>
    <t>55302/040126/0000001/039</t>
  </si>
  <si>
    <t>1. НОВЫЕ ЗАПАСНЫЕ ЧАСТИ КАРЬЕРНЫХ САМОСВАЛОВ,ЗАДНИЙ КРОНШТЕЙН ПЕРЕДНЕЙ ПРУЖИНЫ,</t>
  </si>
  <si>
    <t>НОВЫЕ ЗАПАСНЫЕ ЧАСТИ КАРЬЕРНЫХ САМОСВАЛОВ,ЗАДНИЙ КРОНШТЕЙН ПЕРЕДНЕЙ ПРУЖИНЫ; ПРОИЗВОДИТЕЛЬ: SINOTRUK INTERNATIONAL; ТОВАРНЫЙ ЗНАК: ОТСУТСВУЕТ; , КОЛИЧЕСТВО: 17.00 ШТ;</t>
  </si>
  <si>
    <t>55302/040126/0000001/043</t>
  </si>
  <si>
    <t>1. НОВЫЕ ЗАПАСНЫЕ ЧАСТИ КАРЬЕРНЫХ САМОСВАЛОВ,КАРДАННЫЙ ВАЛ,</t>
  </si>
  <si>
    <t>НОВЫЕ ЗАПАСНЫЕ ЧАСТИ КАРЬЕРНЫХ САМОСВАЛОВ,КАРДАННЫЙ ВАЛ; ПРОИЗВОДИТЕЛЬ: SINOTRUK INTERNATIONAL; ТОВАРНЫЙ ЗНАК: ОТСУТСВУЕТ; , КОЛИЧЕСТВО: 10.00 ШТ;</t>
  </si>
  <si>
    <t>55302/040126/0000001/050</t>
  </si>
  <si>
    <t>НОВЫЕ ЗАПАСНЫЕ ЧАСТИ КАРЬЕРНЫХ САМОСВАЛОВ,КАРДАННЫЙ ВАЛ; ПРОИЗВОДИТЕЛЬ: SINOTRUK INTERNATIONAL; ТОВАРНЫЙ ЗНАК: ОТСУТСВУЕТ; , КОЛИЧЕСТВО: 5.00 ШТ;</t>
  </si>
  <si>
    <t>55302/040126/0000001/062</t>
  </si>
  <si>
    <t>1. НОВЫЕ ЗАПАСНЫЕ ЧАСТИ КАРЬЕРНЫХ САМОСВАЛОВ,СФЕРИЧЕСКИЙ ПОДШИПНИК,</t>
  </si>
  <si>
    <t>НОВЫЕ ЗАПАСНЫЕ ЧАСТИ КАРЬЕРНЫХ САМОСВАЛОВ,СФЕРИЧЕСКИЙ ПОДШИПНИК; ПРОИЗВОДИТЕЛЬ: SINOTRUK INTERNATIONAL; ТОВАРНЫЙ ЗНАК: ОТСУТСВУЕТ; , КОЛИЧЕСТВО: 90.00 ШТ;</t>
  </si>
  <si>
    <t>55302/040126/0000001/063</t>
  </si>
  <si>
    <t>1. НОВЫЕ ЗАПАСНЫЕ ЧАСТИ КАРЬЕРНЫХ САМОСВАЛОВ,КОНИЧЕСКИЙ РОЛИКОВЫЙ ПОДШИПНИК32226,</t>
  </si>
  <si>
    <t>НОВЫЕ ЗАПАСНЫЕ ЧАСТИ КАРЬЕРНЫХ САМОСВАЛОВ,КОНИЧЕСКИЙ РОЛИКОВЫЙ ПОДШИПНИК32226; ПРОИЗВОДИТЕЛЬ: SINOTRUK INTERNATIONAL; ТОВАРНЫЙ ЗНАК: ОТСУТСВУЕТ; , КОЛИЧЕСТВО: 43.00 ШТ;</t>
  </si>
  <si>
    <t>55302/040126/0000001/064</t>
  </si>
  <si>
    <t>1. НОВЫЕ ЗАПАСНЫЕ ЧАСТИ КАРЬЕРНЫХ САМОСВАЛОВ,КОНИЧЕСКИЙ РОЛИКОВЫЙ ПОДШИПНИК32228,</t>
  </si>
  <si>
    <t>НОВЫЕ ЗАПАСНЫЕ ЧАСТИ КАРЬЕРНЫХ САМОСВАЛОВ,КОНИЧЕСКИЙ РОЛИКОВЫЙ ПОДШИПНИК32228; ПРОИЗВОДИТЕЛЬ: SINOTRUK INTERNATIONAL; ТОВАРНЫЙ ЗНАК: ОТСУТСВУЕТ; , КОЛИЧЕСТВО: 60.00 ШТ;</t>
  </si>
  <si>
    <t>55302/040126/0000001/071</t>
  </si>
  <si>
    <t>55302/040126/0000001/072</t>
  </si>
  <si>
    <t>1. НОВЫЕ ЗАПАСНЫЕ ЧАСТИ КАРЬЕРНЫХ САМОСВАЛОВ,ПОЛУОСЬ(ПРАВ.),</t>
  </si>
  <si>
    <t>НОВЫЕ ЗАПАСНЫЕ ЧАСТИ КАРЬЕРНЫХ САМОСВАЛОВ,ПОЛУОСЬ(ПРАВ.); ПРОИЗВОДИТЕЛЬ: SINOTRUK INTERNATIONAL; ТОВАРНЫЙ ЗНАК: ОТСУТСВУЕТ; , КОЛИЧЕСТВО: 18.00 ШТ;</t>
  </si>
  <si>
    <t>55302/040126/0000001/075</t>
  </si>
  <si>
    <t>1. НОВЫЕ ЗАПАСНЫЕ ЧАСТИ КАРЬЕРНЫХ САМОСВАЛОВ,ЗАДНЯЯ СТАЛЬНАЯ ТАРЕЛЬЧАТАЯ ПРУЖИНА В СБОРЕ,</t>
  </si>
  <si>
    <t>НОВЫЕ ЗАПАСНЫЕ ЧАСТИ КАРЬЕРНЫХ САМОСВАЛОВ,ЗАДНЯЯ СТАЛЬНАЯ ТАРЕЛЬЧАТАЯ ПРУЖИНА В СБОРЕ; ПРОИЗВОДИТЕЛЬ: SINOTRUK INTERNATIONAL; ТОВАРНЫЙ ЗНАК: ОТСУТСВУЕТ; , КОЛИЧЕСТВО: 13.00 ШТ;</t>
  </si>
  <si>
    <t>55302/040126/0000001/078</t>
  </si>
  <si>
    <t>1. НОВЫЕ ЗАПАСНЫЕ ЧАСТИ КАРЬЕРНЫХ САМОСВАЛОВ,ШАРНИР ТЯГИ В СБОРЕ (ПРАВЫЙ),</t>
  </si>
  <si>
    <t>НОВЫЕ ЗАПАСНЫЕ ЧАСТИ КАРЬЕРНЫХ САМОСВАЛОВ,ШАРНИР ТЯГИ В СБОРЕ (ПРАВЫЙ); ПРОИЗВОДИТЕЛЬ: SINOTRUK INTERNATIONAL; ТОВАРНЫЙ ЗНАК: ОТСУТСВУЕТ; , КОЛИЧЕСТВО: 207.00 ШТ;</t>
  </si>
  <si>
    <t>55302/040126/0000001/093</t>
  </si>
  <si>
    <t>1. НОВЫЕ ЗАПАСНЫЕ ЧАСТИ КАРЬЕРНЫХ САМОСВАЛОВ,U-ОБРАЗНЫЙ БОЛТ ЗАДНЕЙ ПРУЖИНЫ,</t>
  </si>
  <si>
    <t>НОВЫЕ ЗАПАСНЫЕ ЧАСТИ КАРЬЕРНЫХ САМОСВАЛОВ,U-ОБРАЗНЫЙ БОЛТ ЗАДНЕЙ ПРУЖИНЫ; ПРОИЗВОДИТЕЛЬ: SINOTRUK INTERNATIONAL; ТОВАРНЫЙ ЗНАК: ОТСУТСВУЕТ; , КОЛИЧЕСТВО: 298.00 ШТ;</t>
  </si>
  <si>
    <t>55302/040126/0000001/098</t>
  </si>
  <si>
    <t>1. НОВЫЕ ЗАПАСНЫЕ ЧАСТИ КАРЬЕРНЫХ САМОСВАЛОВ,ПЕРЕДНЯЯ СТУПИЦА В СБОРЕ,</t>
  </si>
  <si>
    <t>НОВЫЕ ЗАПАСНЫЕ ЧАСТИ КАРЬЕРНЫХ САМОСВАЛОВ,ПЕРЕДНЯЯ СТУПИЦА В СБОРЕ; ПРОИЗВОДИТЕЛЬ: SINOTRUK INTERNATIONAL; ТОВАРНЫЙ ЗНАК: ОТСУТСВУЕТ; , КОЛИЧЕСТВО: 5.00 ШТ;</t>
  </si>
  <si>
    <t>55302/040126/0000001/102</t>
  </si>
  <si>
    <t>1. НОВЫЕ ЗАПАСНЫЕ ЧАСТИ КАРЬЕРНЫХ САМОСВАЛОВ,ЗАДНИЙ ТОРМОЗНОЙ БАРАБАН,</t>
  </si>
  <si>
    <t>НОВЫЕ ЗАПАСНЫЕ ЧАСТИ КАРЬЕРНЫХ САМОСВАЛОВ,ЗАДНИЙ ТОРМОЗНОЙ БАРАБАН; ПРОИЗВОДИТЕЛЬ: SINOTRUK INTERNATIONAL; ТОВАРНЫЙ ЗНАК: ОТСУТСВУЕТ; , КОЛИЧЕСТВО: 56.00 ШТ;</t>
  </si>
  <si>
    <t>55302/040126/0000001/104</t>
  </si>
  <si>
    <t>1. НОВЫЕ ЗАПАСНЫЕ ЧАСТИ КАРЬЕРНЫХ САМОСВАЛОВ,РЫЧАГ РЕГУЛИРОВКИ ЗАЗОРА В СБОРЕ,</t>
  </si>
  <si>
    <t>НОВЫЕ ЗАПАСНЫЕ ЧАСТИ КАРЬЕРНЫХ САМОСВАЛОВ,РЫЧАГ РЕГУЛИРОВКИ ЗАЗОРА В СБОРЕ; ПРОИЗВОДИТЕЛЬ: SINOTRUK INTERNATIONAL; ТОВАРНЫЙ ЗНАК: ОТСУТСВУЕТ; , КОЛИЧЕСТВО: 185.00 ШТ;</t>
  </si>
  <si>
    <t>55302/040126/0000001/128</t>
  </si>
  <si>
    <t>1. НОВЫЕ ЗАПАСНЫЕ ЧАСТИ КАРЬЕРНЫХ САМОСВАЛОВ,МЕМБРАННАЯ ПОДПРУЖИНЕННАЯ ВОЗДУШНАЯ КАМЕРА ТОРМОЗА  L=262,</t>
  </si>
  <si>
    <t>НОВЫЕ ЗАПАСНЫЕ ЧАСТИ КАРЬЕРНЫХ САМОСВАЛОВ,МЕМБРАННАЯ ПОДПРУЖИНЕННАЯ ВОЗДУШНАЯ КАМЕРА ТОРМОЗА L=262; ПРОИЗВОДИТЕЛЬ: SINOTRUK INTERNATIONAL; ТОВАРНЫЙ ЗНАК: ОТСУТСВУЕТ; , КОЛИЧЕСТВО: 78.00 ШТ;</t>
  </si>
  <si>
    <t>57504/040126/1000006</t>
  </si>
  <si>
    <t>57504/040126/1000006/001</t>
  </si>
  <si>
    <t>СРЕДСТВА ДРОБЛЕНИЯ МЕЛЬНИЦЫ ПСИ, ИСПОЛЬЗУЕТСЯ В ГОРНОДОБЫВАЮЩЕЙ ПРОМЫШЛЕННОСТИ; ПРОИЗВОДИТЕЛЬ: ME ELECMETAL; ТОВАРНЫЙ ЗНАК: ОТСУТСТВУЕТ; МАРКА ТОВАРА: ME ELECMETAL; , КОЛИЧЕСТВО: 156.00 Т;</t>
  </si>
  <si>
    <t>57504/040126/1000007</t>
  </si>
  <si>
    <t>57504/040126/1000007/001</t>
  </si>
  <si>
    <t>СРЕДСТВА ДРОБЛЕНИЯ МЕЛЬНИЦЫ ПСИ, ИСПОЛЬЗУЕТСЯ В ГОРНОДОБЫВАЮЩЕЙ ПРОМЫШЛЕННОСТИ; ПРОИЗВОДИТЕЛЬ: ME ELECMETAL; ТОВАРНЫЙ ЗНАК: ME ELECMETAL; МАРКА ТОВАРА: ME ELECMETAL; , КОЛИЧЕСТВО: 52.00 Т;</t>
  </si>
  <si>
    <t>55302/040126/0000001/095</t>
  </si>
  <si>
    <t>1. НОВЫЕ ЗАПАСНЫЕ ЧАСТИ КАРЬЕРНЫХ САМОСВАЛОВ,U-ОБРАЗНЫЙ БОЛТ ПЕРЕДНЕЙ ПРУЖИНЫ,</t>
  </si>
  <si>
    <t>НОВЫЕ ЗАПАСНЫЕ ЧАСТИ КАРЬЕРНЫХ САМОСВАЛОВ,U-ОБРАЗНЫЙ БОЛТ ПЕРЕДНЕЙ ПРУЖИНЫ; ПРОИЗВОДИТЕЛЬ: SINOTRUK INTERNATIONAL; ТОВАРНЫЙ ЗНАК: ОТСУТСВУЕТ; , КОЛИЧЕСТВО: 275.00 ШТ;</t>
  </si>
  <si>
    <t>51804/050126/0000008</t>
  </si>
  <si>
    <t>51804/050126/0000008/017</t>
  </si>
  <si>
    <t>ТП "КАРАГАНДА-ЦЕНТР ТАМОЖЕННОГО ОФОРМЛЕНИЯ"</t>
  </si>
  <si>
    <t>QINGDAO SENTURY TIRE CO.,LTD</t>
  </si>
  <si>
    <t>КИТАЙ, NO5 TIANSHAN 3RD ROAD DAXIN TOWN, JIMO CITY QINGDAO CHINA</t>
  </si>
  <si>
    <t>ТОО KAZ T-REMA INTERNATIONAL, КАЗ Т-РЕМА ИНТЕРНЭШНЛ</t>
  </si>
  <si>
    <t>КАЗАХСТАН, КАРАГАНДА, ШОССЕ САРАНСКОЕ, 8/3</t>
  </si>
  <si>
    <t>GB</t>
  </si>
  <si>
    <t>СОЕДИНЕННОЕ КОРОЛЕВСТВО</t>
  </si>
  <si>
    <t>QINGDAO</t>
  </si>
  <si>
    <t>QINGDAO SENTURY TIRE CO.,LTD;</t>
  </si>
  <si>
    <t>AREXA</t>
  </si>
  <si>
    <t>1. ШИНЫ НОВАЯ235/55R18 AREXA 104W SPORT PRIME,</t>
  </si>
  <si>
    <t>ШИНЫ НОВАЯ235/55R18 AREXA 104W SPORT PRIME; ПРОИЗВОДИТЕЛЬ: QINGDAO SENTURY TIRE CO.,LTD; МАРКА ТОВАРА: AREXA; , КОЛИЧЕСТВО: 40.00 ШТ;</t>
  </si>
  <si>
    <t>51804/050126/0000016</t>
  </si>
  <si>
    <t>51804/050126/0000016/001</t>
  </si>
  <si>
    <t>HANGZHOU DUZHONG IMPORT AND EXPORT CO.LTD</t>
  </si>
  <si>
    <t>КИТАЙ, ZHEJIANG PROVINCE,HANGZHOU CITY, XIAOSHAN DISTRICT,BEIGAN STREET,BLD.1, ROOM 1502</t>
  </si>
  <si>
    <t>ТОО САНТЕХПРОМ</t>
  </si>
  <si>
    <t>КАЗАХСТАН, Г.КАРАГАНДА, ОКТЯБРЬСКАЯ ПРОМЗОНА</t>
  </si>
  <si>
    <t>HANGZHOU</t>
  </si>
  <si>
    <t>HANGZHOU DUZHONG IMPORT AND EXPORT CO.LTD;</t>
  </si>
  <si>
    <t>ОТСУТСТВУЕТ</t>
  </si>
  <si>
    <t>1. ЛИСТ АКРИЛОВЫЙ ABS/PMMA, СОПОЛИМЕРНЫЙ МАТЕРИAЛ ABS 93%, PMMA 7%, 1560*760*2.6ММ, 1660*760*3.2ММ,  В ЛИСТАХ, ИСПОЛЬЗУЕТСЯ ДЛЯ ПРОИЗВОДСТВА АКРИЛОВЫХ ВАНН,</t>
  </si>
  <si>
    <t>ЛИСТ АКРИЛОВЫЙ ABS/PMMA, СОПОЛИМЕРНЫЙ МАТЕРИАЛ ABS 93%, PMMA 7%, 1560*760*2.6ММ, 1660*760*3.2ММ, В ЛИСТАХ, ИСПОЛЬЗУЕТСЯ ДЛЯ ПРОИЗВОДСТВА АКРИЛОВЫХ ВАНН; ПРОИЗВОДИТЕЛЬ: HANGZHOU DUZHONG IMPORT AND EXPORT CO.LTD; МАРКА ТОВАРА: ОТСУТСТВУЕТ; , КОЛИЧЕСТВО: 3600.00 ШТ;</t>
  </si>
  <si>
    <t>55101/050126/0000032</t>
  </si>
  <si>
    <t>55101/050126/0000032/003</t>
  </si>
  <si>
    <t>Т/П "АСТАНА-ЦЕНТР ТАМОЖЕННОГО ОФОРМЛЕНИЯ"</t>
  </si>
  <si>
    <t>GUANGDONG ZHONGBIAO SANITARY WARE TECHNOLOGY CO., LTD</t>
  </si>
  <si>
    <t>КИТАЙ, CHAOZHOU CITY, GUXIANG TOWN, GUSAN INDUSTRIAL ZONE,</t>
  </si>
  <si>
    <t>ТОО BULAK</t>
  </si>
  <si>
    <t>КАЗАХСТАН, АЛМАТЫ, МКРН. "САМГАУ", УЛ.КОКОРАЙ Д.28</t>
  </si>
  <si>
    <t>ЧАОЧЖОУ</t>
  </si>
  <si>
    <t>GUANGDONG ZHONGBIAO SANITARY WARE TECHNOLOGY CO., LTD;</t>
  </si>
  <si>
    <t>REIN</t>
  </si>
  <si>
    <t>1. УНИТАЗ ПОДВЕСНОЙ REIN 205E 510*345*340 В КОМПЛЕКТЕ С СИДЕНИЕМ И КРЕПЛЕНИЯМИ,</t>
  </si>
  <si>
    <t>УНИТАЗ МОНОЛИТНЫЙ SANITECO SA-3074 БЕЛЫЙ 690*360*835 В КОМПЛЕКТЕ С СИДЕНИЕМ И КРЕПЛЕНИЯМИ; ПРОИЗВОДИТЕЛЬ: GUANGDONG ZHONGBIAO SANITARY WARE TECHNOLOGY CO., LTD; ТОВАРНЫЙ ЗНАК: REIN; МАРКА ТОВАРА: REIN; , КОЛИЧЕСТВО: 350.00 ШТ;</t>
  </si>
  <si>
    <t>55303/050126/0000001</t>
  </si>
  <si>
    <t>55303/050126/0000001/001</t>
  </si>
  <si>
    <t>Т/П "СПЕЦ.ЭКОНОМ.ЗОНА "ПАРК ИНФОРМАЦ-Х ТЕХНОЛОГИЙ"</t>
  </si>
  <si>
    <t>HEFEI BOE VISION-ELECTRONIC TECHNOLOGY CO.,LTD C/O MICROBEE INDUSTRY LIMITED</t>
  </si>
  <si>
    <t>КИТАЙ, HEFEI, ANHUI PROVINCE, NO.2177, DONGFANG AVENUE, NEW STATION DISTRICT</t>
  </si>
  <si>
    <t>ТОО DS MULTIMEDIA CA (ДИЭС МУЛЬТИМЕДИА СИЭЙ)</t>
  </si>
  <si>
    <t>КАЗАХСТАН, Г. АЛМАТЫ, СЭЗ "ПАРК ИННОВАЦ.ТЕХН", МРН. АЛАТАУ, УЛ. ИБРАГИМОВА, ДОМ 9</t>
  </si>
  <si>
    <t>HEFEI</t>
  </si>
  <si>
    <t>HEFEI BOE VISION-ELECTRONIC TECHNOLOGY CO.,LTD.;</t>
  </si>
  <si>
    <t>НЕ ПРЕДУСМОТРЕН/НЕ ПРЕДУСМОТРЕНА</t>
  </si>
  <si>
    <t>1. ЖК МОДУЛЬ (ЭКРАН) 32ДЛЯ ЖК ТЕЛЕВИЗОРА, МОДЕЛЬ OJBRU1F LCM,</t>
  </si>
  <si>
    <t>(КОМПЛЕКТУЮЩИЕ ПРЕДНАЗНАЧЕННЫЕ ДЛЯ ПРОИЗВОДСТВА ЖК ТЕЛЕВИЗОРОВ НА ТЕРРИТОРИИ РК); ПРОИЗВОДИТЕЛЬ: HEFEI BOE VISION-ELECTRONIC TECHNOLOGY CO.,LTD.; ТОВАРНЫЙ ЗНАК: НЕ ПРЕДУСМОТРЕН; МАРКА ТОВАРА: НЕ ПРЕДУСМОТРЕНА; , КОЛИЧЕСТВО: 1596.00 ШТ;</t>
  </si>
  <si>
    <t>55303/050126/0000001/002</t>
  </si>
  <si>
    <t>(КОМПЛЕКТУЮЩИЕ ПРЕДНАЗНАЧЕННЫЕ ДЛЯ ПРОИЗВОДСТВА ЖК ТЕЛЕВИЗОРОВ НА ТЕРРИТОРИИ РК); ПРОИЗВОДИТЕЛЬ: HEFEI BOE VISION-ELECTRONIC TECHNOLOGY CO.,LTD.; ТОВАРНЫЙ ЗНАК: НЕ ПРЕДУСМОТРЕН; МАРКА ТОВАРА: НЕ ПРЕДУСМОТРЕНА; , КОЛИЧЕСТВО: 1064.00 ШТ;</t>
  </si>
  <si>
    <t>55303/050126/0000001/003</t>
  </si>
  <si>
    <t>GUANGZHOU SHIKUN ELECTRONICS CO., LTD;</t>
  </si>
  <si>
    <t>1. ВНУТРЕННЯЯ ПЛАТА ТЕЛЕВИЗОРА - ПЛАТА УПРАВЛЕНИЯ ПОДАЧИ ВИДЕОСИГНАЛА НА ЖК ЭКРАН ТЕЛЕВИЗОРА,  МОДЕЛЬ TPD.T950D5T.PB791 (T),</t>
  </si>
  <si>
    <t>(КОМПЛЕКТУЮЩИЕ ПРЕДНАЗНАЧЕННЫЕ ДЛЯ ПРОИЗВОДСТВА ЖК ТЕЛЕВИЗОРОВ НА ТЕРРИТОРИИ РК); ПРОИЗВОДИТЕЛЬ: GUANGZHOU SHIKUN ELECTRONICS CO., LTD; ТОВАРНЫЙ ЗНАК: НЕ ПРЕДУСМОТРЕН; МАРКА ТОВАРА: НЕ ПРЕДУСМОТРЕНА; , КОЛИЧЕСТВО: 13080.00 ШТ;</t>
  </si>
  <si>
    <t>55403/050126/0000068</t>
  </si>
  <si>
    <t>55403/050126/0000068/001</t>
  </si>
  <si>
    <t>POWERCHINA SEPCO1 ELECTRIC POWER CONSTRUCTION CO., LTD</t>
  </si>
  <si>
    <t>КИТАЙ, ,</t>
  </si>
  <si>
    <t>Филиал компании SEPCO1 Electric Power Construction Corporation в Республ</t>
  </si>
  <si>
    <t>КАЗАХСТАН, Медеуский, Казахстан, Алматинская обл., г. Алматы, ул. Микрорайон САМАЛ-2, д. 58, кв. (офис) 115</t>
  </si>
  <si>
    <t>ХОРГОС КНР</t>
  </si>
  <si>
    <t>«XINJIANG FUTAI CONSTRUCTION (GROUP) CO., LTD»;</t>
  </si>
  <si>
    <t>FUTAI CONSTRUCTION</t>
  </si>
  <si>
    <t>1. МЕТАЛЛОКОНСТРУКЦИЯ (КОНСТРУКЦИИ СТАЛЬНЫЕ СТРОИТЕЛЬНЫЕ),</t>
  </si>
  <si>
    <t>МЕТАЛЛОКОНСТРУКЦИЯ (КОНСТРУКЦИИ СТАЛЬНЫЕ СТРОИТЕЛЬНЫЕ); ПРОИЗВОДИТЕЛЬ: «XINJIANG FUTAI CONSTRUCTION (GROUP) CO., LTD»; ТОВАРНЫЙ ЗНАК: FUTAI CONSTRUCTION; МАРКА ТОВАРА: FUTAI CONSTRUCTION; , КОЛИЧЕСТВО: 162080.00 КГ;</t>
  </si>
  <si>
    <t>55403/050126/0000105</t>
  </si>
  <si>
    <t>55403/050126/0000105/001</t>
  </si>
  <si>
    <t>XINJIANG XIMEN CROSS-BORDER E-COMMERCE LOGISTICS TECHNOLOGY CO., LTD.</t>
  </si>
  <si>
    <t>TOO ШАХАН-НС</t>
  </si>
  <si>
    <t>КАЗАХСТАН, УЛ. ТОЛЕ БИ, СТРОЕНИЕ 302</t>
  </si>
  <si>
    <t>XINJIANG XIMEN CROSS-BORDER E-COMMERCE LOGISTICS TECHNOLOGY CO., LTD.;</t>
  </si>
  <si>
    <t>XINJIANG XIMEN CROSS-BORDER E-COMMERCE LOGISTICS T</t>
  </si>
  <si>
    <t>1. СТАЛЬНОЙ КАРКАС,</t>
  </si>
  <si>
    <t>СТАЛЬНОЙ КАРКАС; ПРОИЗВОДИТЕЛЬ: XINJIANG XIMEN CROSS-BORDER E-COMMERCE LOGISTICS TECHNOLOGY CO., LTD.; МАРКА ТОВАРА: XINJIANG XIMEN CROSS-BORDER E-COMMERCE LOGISTICS T; , КОЛИЧЕСТВО: 324.00 ШТ;</t>
  </si>
  <si>
    <t>55403/050126/0000105/002</t>
  </si>
  <si>
    <t>1. СТАЛЬНЫЕ ДВЕРИ (В КОМПЛЕКТЕ),</t>
  </si>
  <si>
    <t>СТАЛЬНЫЕ ДВЕРИ (В КОМПЛЕКТЕ); ПРОИЗВОДИТЕЛЬ: XINJIANG XIMEN CROSS-BORDER E-COMMERCE LOGISTICS TECHNOLOGY CO., LTD.; МАРКА ТОВАРА: XINJIANG XIMEN CROSS-BORDER E-COMMERCE LOGISTICS T; , КОЛИЧЕСТВО: 33.00 ШТ;</t>
  </si>
  <si>
    <t>55403/050126/0000105/003</t>
  </si>
  <si>
    <t>1. ПЛАСТИКОВАЯ ОКНА (В КОМПЛЕКТЕ ),</t>
  </si>
  <si>
    <t>ПЛАСТИКОВАЯ ОКНА (В КОМПЛЕКТЕ ); ПРОИЗВОДИТЕЛЬ: XINJIANG XIMEN CROSS-BORDER E-COMMERCE LOGISTICS TECHNOLOGY CO., LTD.; МАРКА ТОВАРА: XINJIANG XIMEN CROSS-BORDER E-COMMERCE LOGISTICS T; , КОЛИЧЕСТВО: 36.00 ШТ;</t>
  </si>
  <si>
    <t>55403/050126/0000110</t>
  </si>
  <si>
    <t>55403/050126/0000110/001</t>
  </si>
  <si>
    <t>XINJIANG XIMEN CROSS-BORDER E-COMMERCE LOGISTICS TECHNOLOGY CO., LTD./XINJIANG XIMEN CROSS-BORDER E-COMMERCE LOGISTICS T</t>
  </si>
  <si>
    <t>СТАЛЬНОЙ КАРКАС; ПРОИЗВОДИТЕЛЬ: XINJIANG XIMEN CROSS-BORDER E-COMMERCE LOGISTICS TECHNOLOGY CO., LTD.; ТОВАРНЫЙ ЗНАК: XINJIANG XIMEN CROSS-BORDER E-COMMERCE LOGISTICS TECHNOLOGY CO., LTD.; МАРКА ТОВАРА: XINJIANG XIMEN CROSS-BORDER E-COMMERCE LOGISTICS T; , КОЛИЧЕСТВО: 324.00 ШТ;</t>
  </si>
  <si>
    <t>55403/050126/0000110/002</t>
  </si>
  <si>
    <t>ПЛАСТИКОВАЯ ОКНА (В КОМПЛЕКТЕ ); ПРОИЗВОДИТЕЛЬ: XINJIANG XIMEN CROSS-BORDER E-COMMERCE LOGISTICS TECHNOLOGY CO., LTD.; ТОВАРНЫЙ ЗНАК: XINJIANG XIMEN CROSS-BORDER E-COMMERCE LOGISTICS TECHNOLOGY CO., LTD.; МАРКА ТОВАРА: XINJIANG XIMEN CROSS-BORDER E-COMMERCE LOGISTICS T; , КОЛИЧЕСТВО: 18.00 ШТ;</t>
  </si>
  <si>
    <t>55403/050126/0000115</t>
  </si>
  <si>
    <t>55403/050126/0000115/001</t>
  </si>
  <si>
    <t>ZHE JIANG YIGAO ELECTRICAL TECHNOLOGY CO.,LTD</t>
  </si>
  <si>
    <t>КИТАЙ, NO.183 SONGHU ROAD,LIUSHI TOWN, YUEQING,WENZHOU325600, ZHEIANG,CHINA</t>
  </si>
  <si>
    <t>ТОО КАЗТЕМИР TRADE</t>
  </si>
  <si>
    <t>КАЗАХСТАН, Г. АЛМАТЫ, ПР. СЕЙФУЛЛИНА 284 ОФ 13 ДОМОФ 15К</t>
  </si>
  <si>
    <t>WENZHOU</t>
  </si>
  <si>
    <t>ZHE JIANG YIGAO ELECTRICAL TECHNOLOGY CO.,LTD;</t>
  </si>
  <si>
    <t>НЕ УКАЗАН</t>
  </si>
  <si>
    <t>1. РАЗЪЕДИНИТЕЛЬ ВЫСОКОВОЛЬТНЫЙ РВЗ-10/630-II У2,</t>
  </si>
  <si>
    <t>РАЗЪЕДИНИТЕЛЬ ВЫСОКОВОЛЬТНЫЙ РВЗ-10/630-II У2; ПРОИЗВОДИТЕЛЬ: ZHE JIANG YIGAO ELECTRICAL TECHNOLOGY CO.,LTD; МАРКА ТОВАРА: НЕ УКАЗАН; , КОЛИЧЕСТВО: 100.00 ШТ;</t>
  </si>
  <si>
    <t>55403/050126/0000115/002</t>
  </si>
  <si>
    <t>1. РАЗЪЕДИНИТЕЛЬ ВЫСОКОВОЛЬТНЫЙ РВЗ-10/1000-II У2,</t>
  </si>
  <si>
    <t>РАЗЪЕДИНИТЕЛЬ ВЫСОКОВОЛЬТНЫЙ РВЗ-10/1000-II У2; ПРОИЗВОДИТЕЛЬ: ZHE JIANG YIGAO ELECTRICAL TECHNOLOGY CO.,LTD; МАРКА ТОВАРА: НЕ УКАЗАН; , КОЛИЧЕСТВО: 12.00 ШТ;</t>
  </si>
  <si>
    <t>55403/050126/0000115/003</t>
  </si>
  <si>
    <t>1. ВЫКЛЮЧАТЕЛЬ НАГРУЗКИ ВНА-П(П)-10/630-20 ЗП ПОД К-102 С ПР-10,</t>
  </si>
  <si>
    <t>ВЫКЛЮЧАТЕЛЬ НАГРУЗКИ ВНА-П(П)-10/630-20 ЗП ПОД К-102 С ПР-10; ПРОИЗВОДИТЕЛЬ: ZHE JIANG YIGAO ELECTRICAL TECHNOLOGY CO.,LTD; МАРКА ТОВАРА: НЕ УКАЗАН; , КОЛИЧЕСТВО: 40.00 ШТ;</t>
  </si>
  <si>
    <t>55403/050126/0000115/004</t>
  </si>
  <si>
    <t>1. РАЗЪЕДИНИТЕЛЬ ВЫСОКОВОЛЬТНЫЙ РВФЗ-10/630-II-II У2,</t>
  </si>
  <si>
    <t>РАЗЪЕДИНИТЕЛЬ ВЫСОКОВОЛЬТНЫЙ РВФЗ-10/630-II-II У2; ПРОИЗВОДИТЕЛЬ: ZHE JIANG YIGAO ELECTRICAL TECHNOLOGY CO.,LTD; МАРКА ТОВАРА: НЕ УКАЗАН; , КОЛИЧЕСТВО: 100.00 ШТ;</t>
  </si>
  <si>
    <t>55403/050126/0000115/005</t>
  </si>
  <si>
    <t>1. ВЫКЛЮЧАТЕЛЬ НАГРУЗКИ ВНА-П(П)-10/630-20 З С ПР-10(ФАРФОРОВЫЕ ИЗОЛЯТОРЫ)(10,КВ),</t>
  </si>
  <si>
    <t>ВЫКЛЮЧАТЕЛЬ НАГРУЗКИ ВНА-П(П)-10/630-20 З С ПР-10(ФАРФОРОВЫЕ ИЗОЛЯТОРЫ)(10,КВ); ПРОИЗВОДИТЕЛЬ: ZHE JIANG YIGAO ELECTRICAL TECHNOLOGY CO.,LTD; МАРКА ТОВАРА: НЕ УКАЗАН; , КОЛИЧЕСТВО: 52.00 ШТ;</t>
  </si>
  <si>
    <t>55411/050126/0000012</t>
  </si>
  <si>
    <t>55411/050126/0000012/001</t>
  </si>
  <si>
    <t>FOSHAN CITY SHUNDE AREA PERFECT METAL PRODUCTA CO., LTD</t>
  </si>
  <si>
    <t>КИТАЙ, XINGTAN TOWN, SHUNDE, FOSHAN, GUAGDONG</t>
  </si>
  <si>
    <t>SHUNDE</t>
  </si>
  <si>
    <t>FOSHAN CITY SHUNDE AREA PERFECT METAL PRODUCTA CO., LTD;</t>
  </si>
  <si>
    <t>FOSHAN CITY SHUNDE</t>
  </si>
  <si>
    <t>1. РЕШЕТКИ,</t>
  </si>
  <si>
    <t>ЗАПЧАСТИ ДЛЯ БЫТОВЫХ ПЛИТ; ПРОИЗВОДИТЕЛЬ: FOSHAN CITY SHUNDE AREA PERFECT METAL PRODUCTA CO., LTD; ТОВАРНЫЙ ЗНАК: FOSHAN CITY SHUNDE; МАРКА ТОВАРА: FOSHAN CITY SHUNDE; , КОЛИЧЕСТВО: 1931.00 ШТ;</t>
  </si>
  <si>
    <t>55411/050126/0000012/002</t>
  </si>
  <si>
    <t>ЗАПЧАСТИ ДЛЯ БЫТОВЫХ ПЛИТ; ПРОИЗВОДИТЕЛЬ: FOSHAN CITY SHUNDE AREA PERFECT METAL PRODUCTA CO., LTD; ТОВАРНЫЙ ЗНАК: FOSHAN CITY SHUNDE; МАРКА ТОВАРА: FOSHAN CITY SHUNDE; , КОЛИЧЕСТВО: 1972.00 ШТ;</t>
  </si>
  <si>
    <t>55411/050126/0000012/003</t>
  </si>
  <si>
    <t>ЗАПЧАСТИ ДЛЯ БЫТОВЫХ ПЛИТ; ПРОИЗВОДИТЕЛЬ: FOSHAN CITY SHUNDE AREA PERFECT METAL PRODUCTA CO., LTD; ТОВАРНЫЙ ЗНАК: FOSHAN CITY SHUNDE; МАРКА ТОВАРА: FOSHAN CITY SHUNDE; , КОЛИЧЕСТВО: 1760.00 ШТ;</t>
  </si>
  <si>
    <t>55411/050126/0000024</t>
  </si>
  <si>
    <t>55411/050126/0000024/001</t>
  </si>
  <si>
    <t>QINGDAO HETANCH COMMERCIAL CO.,LTD</t>
  </si>
  <si>
    <t>КИТАЙ, NO 945 CHONGQING MIDDLE ROAD, QINGDAO CITY</t>
  </si>
  <si>
    <t>ТОО HEAVY TRUCK KAZAKHSTAN</t>
  </si>
  <si>
    <t>КАЗАХСТАН, АЛАТАУСКИЙ Р-Н, ПР-Т. РАЙЫМБЕКОВА Д. 481А ОФИС 7</t>
  </si>
  <si>
    <t>BAKTU</t>
  </si>
  <si>
    <t>1. ПОЛУПРИЦЕП САМОСВАЛ БЫВШИЙ В ЭКСПЛУАТАЦИИ, ПРОИЗВОДИТЕЛЬ: SHANDONG HUAJIN SPECIAL VEHICLE  MANUFACTURING CO., LTD., МАРКА: YU HANG, МОДЕЛЬ: LHS9402ZHX, ГОД ВЫПУСКА: 2022, VIN:  LA9940Z39N8LHS698,  ПОЛУПРИЦЕП САМОСВАЛ БЫВШИЙ В ЭКСПЛУАТАЦИИ, МАРКА,  МОДЕ</t>
  </si>
  <si>
    <t>55411/050126/0000024/002</t>
  </si>
  <si>
    <t>1. ПОЛУПРИЦЕП САМОСВАЛ БЫВШИЙ В ЭКСПЛУАТАЦИИ, ПРОИЗВОДИТЕЛЬ: SHANDONG HUAJIN SPECIAL VEHICLE  MANUFACTURING CO., LTD., МАРКА: YU HANG, МОДЕЛЬ: LHS9402ZHX, ГОД ВЫПУСКА: 2022, VIN:  LA9940Z30N8LHS699,  ПОЛУПРИЦЕП САМОСВАЛ БЫВШИЙ В ЭКСПЛУАТАЦИИ, МАРКА,  МОДЕ</t>
  </si>
  <si>
    <t>55411/050126/0000024/003</t>
  </si>
  <si>
    <t>1. ПОЛУПРИЦЕП САМОСВАЛ БЫВШИЙ В ЭКСПЛУАТАЦИИ, ПРОИЗВОДИТЕЛЬ: SHANDONG HUAJIN SPECIAL VEHICLE  MANUFACTURING CO., LTD., МАРКА: YU HANG, МОДЕЛЬ: LHS9402ZHX, ГОД ВЫПУСКА: 2022, VIN:  LA9940Z3XN8LHS709,  ПОЛУПРИЦЕП САМОСВАЛ БЫВШИЙ В ЭКСПЛУАТАЦИИ, МАРКА,  МОДЕ</t>
  </si>
  <si>
    <t>55411/050126/0000024/004</t>
  </si>
  <si>
    <t>1. ПОЛУПРИЦЕП САМОСВАЛ БЫВШИЙ В ЭКСПЛУАТАЦИИ, ПРОИЗВОДИТЕЛЬ: SHANDONG HUAJIN SPECIAL VEHICLE  MANUFACTURING CO., LTD., МАРКА: YU HANG, МОДЕЛЬ: LHS9402ZHX, ГОД ВЫПУСКА: 2022, VIN:  LA9940Z36N8LHS710,  ПОЛУПРИЦЕП САМОСВАЛ БЫВШИЙ В ЭКСПЛУАТАЦИИ, МАРКА,  МОДЕ</t>
  </si>
  <si>
    <t>55411/050126/0000048</t>
  </si>
  <si>
    <t>55411/050126/0000048/001</t>
  </si>
  <si>
    <t>1. ПОЛУПРИЦЕП САМОСВАЛ БЫВШИЙ В ЭКСПЛУАТАЦИИ, ПРОИЗВОДИТЕЛЬ: LIANGSHAN WEIHUA MACHINERY  MANUFACTURING CO., LTD., МАРКА: WARWICK, МОДЕЛЬ: CYX9401ZH, ГОД ВЫПУСКА: 2022, VIN:  LA9961ZC7N0CYX103,  ПОЛУПРИЦЕП САМОСВАЛ БЫВШИЙ В ЭКСПЛУАТАЦИИ, МАРКА, МОДЕЛЬ:  WA</t>
  </si>
  <si>
    <t>55411/050126/0000047</t>
  </si>
  <si>
    <t>55411/050126/0000047/006</t>
  </si>
  <si>
    <t>CHINA BLOKS HOLDING LIMITED</t>
  </si>
  <si>
    <t>КИТАЙ, UNIT 2508A 25/F BANK OF AMERICA, TOWER 12 HARCOURT RD CENTRAL</t>
  </si>
  <si>
    <t>ТОО TERRA TOYS (ТЕРРА ТОЙЗ)</t>
  </si>
  <si>
    <t>КАЗАХСТАН, Г.АЛМАТЫ, МКР. САМАЛ-2, Д. 77А, ОФ.4/3</t>
  </si>
  <si>
    <t>OM</t>
  </si>
  <si>
    <t>ОМАН</t>
  </si>
  <si>
    <t>SHENZHEN</t>
  </si>
  <si>
    <t>KUNSHAN HAIHUI PRECISION MANUFACTURING CO., LIMITED;</t>
  </si>
  <si>
    <t>BLOKEES</t>
  </si>
  <si>
    <t>1. КОНСТРУКТОР БЛОКИС МИНЬОНЫ MOKOO, В АСС. BLOKEES. КОМПЛЕКТНОСТЬ: ДЕТАЛИ ДЛЯ СБОРКИ, АКСЕССУАРЫ,  ИНСТРУКЦИЯ. ИЗГОТОВЛЕН ИЗ АБС-ПЛАСТИКА, ПОЛИВИНИЛХЛОРИДА. РЕКОМЕНДОВАНО ДЛЯ ДЕТЕЙ СТАРШЕ 4 ЛЕТ.,</t>
  </si>
  <si>
    <t>:; ПРОИЗВОДИТЕЛЬ: KUNSHAN HAIHUI PRECISION MANUFACTURING CO., LIMITED; МАРКА ТОВАРА: BLOKEES; , КОЛИЧЕСТВО: 3960.00 ШТ;</t>
  </si>
  <si>
    <t>55411/050126/0000047/024</t>
  </si>
  <si>
    <t>1. КОНСТРУКТОР МАШИНКА БЛОКИС ТРАНСФОРМЕРЫ WHEELS, В АССОРТИМЕНТЕ. КОМПЛЕКТНОСТЬ: ДЕТАЛИ ДЛЯ  СБОРКИ, ИНСТРУКЦИЯ. ИЗГОТОВЛЕН ИЗ АБС-ПЛАСТИКА. РЕКОМЕНДОВАНО ДЛЯ ДЕТЕЙ СТАРШЕ 9 ЛЕТ.,</t>
  </si>
  <si>
    <t>:; ПРОИЗВОДИТЕЛЬ: KUNSHAN HAIHUI PRECISION MANUFACTURING CO., LIMITED; МАРКА ТОВАРА: BLOKEES; , КОЛИЧЕСТВО: 12240.00 ШТ;</t>
  </si>
  <si>
    <t>55411/050126/0000047/025</t>
  </si>
  <si>
    <t>1. КОНСТРУКТОР БЛОКИС КОНСТРУКТОР ТРАНСФОРМЕРЫ DEFENDER , В АСС. КОМПЛЕКТНОСТЬ: ДЕТАЛИ ДЛЯ СБОРКИ,  ИНСТРУКЦИЯ. ИЗГОТОВЛЕН ИЗ АБС-ПЛАСТИКА. РЕКОМЕНДОВАНО ДЛЯ ДЕТЕЙ СТАРШЕ 10 ЛЕТ.,</t>
  </si>
  <si>
    <t>55411/050126/0000047/026</t>
  </si>
  <si>
    <t>1. КОНСТРУКТОР БЛОКИС КОНСТРУКТОР ТРАНСФОРМЕРЫ CLASSIC CLASS БАМБЛБИ BLOKEES, В АСС. КОМПЛЕКТНОСТЬ:  ДЕТАЛИ ДЛЯ СБОРКИ, ИНСТРУКЦИЯ, НАКЛЕЙКИ. ИЗГОТОВЛЕН ИЗ АБС-ПЛАСТИКА. ДЛЯ РАБОТЫ ТРЕБУЕТСЯ 1  БАТАРЕЙКА ТИПА CR927 (НАПРЯЖЕНИЕ 3V), ВХОДИТ В  КОМПЛЕКТРЕКОМ</t>
  </si>
  <si>
    <t>:; ПРОИЗВОДИТЕЛЬ: KUNSHAN HAIHUI PRECISION MANUFACTURING CO., LIMITED; МАРКА ТОВАРА: BLOKEES; , КОЛИЧЕСТВО: 1860.00 ШТ;</t>
  </si>
  <si>
    <t>55411/050126/0000047/027</t>
  </si>
  <si>
    <t>1. КОНСТРУКТОР БЛОКИС КОНСТРУКТОР ТРАНСФОРМЕРЫ CLASSIC CLASS ОПТИМУС ПРАЙМ BLOKEES , В АСС.  КОМПЛЕКТНОСТЬ: ДЕТАЛИ ДЛЯ СБОРКИ, ИНСТРУКЦИЯ. ИЗГОТОВЛЕН ИЗ АБС-ПЛАСТИКА. ДЛЯ РАБОТЫ ТРЕБУЕТСЯ 1  БАТАРЕЙКА ТИПА CR927 (НАПРЯЖЕНИЕ 3V), ВХОДИТ В  КОМПЛЕКТРЕКОМЕНД</t>
  </si>
  <si>
    <t>55411/050126/0000047/028</t>
  </si>
  <si>
    <t>1. КОНСТРУКТОР БЛОКИС КОНСТРУКТОР ТРАНСФОРМЕРЫ CLASSIC CLASS МЕГАТРОН BLOKEES , В АСС.  КОМПЛЕКТНОСТЬ: ДЕТАЛИ ДЛЯ СБОРКИ, ИНСТРУКЦИЯ. ИЗГОТОВЛЕН ИЗ АБС-ПЛАСТИКА. ДЛЯ РАБОТЫ ТРЕБУЕТСЯ 1  БАТАРЕЙКА ТИПА CR927 (НАПРЯЖЕНИЕ 3V), ВХОДИТ В  КОМПЛЕКТРЕКОМЕНДОВАНО</t>
  </si>
  <si>
    <t>:; ПРОИЗВОДИТЕЛЬ: KUNSHAN HAIHUI PRECISION MANUFACTURING CO., LIMITED; МАРКА ТОВАРА: BLOKEES; , КОЛИЧЕСТВО: 1680.00 ШТ;</t>
  </si>
  <si>
    <t>55411/050126/0000048/002</t>
  </si>
  <si>
    <t>1. ПОЛУПРИЦЕП САМОСВАЛ БЫВШИЙ В ЭКСПЛУАТАЦИИ, ПРОИЗВОДИТЕЛЬ: LIANGSHAN WEIHUA MACHINERY  MANUFACTURING CO., LTD., МАРКА: WARWICK, МОДЕЛЬ: CYX9401ZH, ГОД ВЫПУСКА: 2022, VIN:  LA9961ZC9N0CYX104,  ПОЛУПРИЦЕП САМОСВАЛ БЫВШИЙ В ЭКСПЛУАТАЦИИ, МАРКА, МОДЕЛЬ:  WA</t>
  </si>
  <si>
    <t>55411/050126/0000048/003</t>
  </si>
  <si>
    <t>1. ПОЛУПРИЦЕП САМОСВАЛ БЫВШИЙ В ЭКСПЛУАТАЦИИ, ПРОИЗВОДИТЕЛЬ: LIANGSHAN WEIHUA MACHINERY  MANUFACTURING CO., LTD., МАРКА: WARWICK, МОДЕЛЬ: CYX9401ZH, ГОД ВЫПУСКА: 2022, VIN:  LA9961ZC0N0CYX105,  ПОЛУПРИЦЕП САМОСВАЛ БЫВШИЙ В ЭКСПЛУАТАЦИИ, МАРКА, МОДЕЛЬ:  WA</t>
  </si>
  <si>
    <t>55411/050126/0000048/004</t>
  </si>
  <si>
    <t>1. ПОЛУПРИЦЕП САМОСВАЛ БЫВШИЙ В ЭКСПЛУАТАЦИИ, ПРОИЗВОДИТЕЛЬ: LIANGSHAN WEIHUA MACHINERY  MANUFACTURING CO., LTD., МАРКА: WARWICK, МОДЕЛЬ: CYX9401ZH, ГОД ВЫПУСКА: 2022, VIN:  LA9961ZC2N0CYX106,  ПОЛУПРИЦЕП САМОСВАЛ БЫВШИЙ В ЭКСПЛУАТАЦИИ, МАРКА, МОДЕЛЬ:  WA</t>
  </si>
  <si>
    <t>55411/050126/0000052</t>
  </si>
  <si>
    <t>55411/050126/0000052/002</t>
  </si>
  <si>
    <t>JIANGMEN PINCO COMMODITY CO., LTD</t>
  </si>
  <si>
    <t>КИТАЙ, XINHUI DISTRICT, JIANGMEN CITY, CHUANGYE ROAD,CHUANGLILAI IND. PARK,DAZE TOWN</t>
  </si>
  <si>
    <t>ТОО БИОСФЕРА ТРЕЙД</t>
  </si>
  <si>
    <t>КАЗАХСТАН, АЛМАЛИНСКИЙ РАЙОН, УЛ. МУРАТБАЕВА, ЗД. 180</t>
  </si>
  <si>
    <t>JIANGMEN</t>
  </si>
  <si>
    <t>JIANGMEN PINCO COMMODITY CO., LTD;</t>
  </si>
  <si>
    <t>ФРЕКЕН БОК</t>
  </si>
  <si>
    <t>55411/050126/0000052/004</t>
  </si>
  <si>
    <t>55411/050126/0000102</t>
  </si>
  <si>
    <t>55411/050126/0000102/001</t>
  </si>
  <si>
    <t>ИП ЖАЛАЛОВ РАШИДИН НУРМУХАМБЕТОВИЧ</t>
  </si>
  <si>
    <t>КАЗАХСТАН, АУЭЗОВСКИЙ РАЙОН, УЛ.ШАМГОН КАЖЫГАЛИЕВ ДОМ 37</t>
  </si>
  <si>
    <t>КАЛЖАТ</t>
  </si>
  <si>
    <t>1. ПОЛУПРИЦЕП САМОСВАЛ БЫВШИЙ В ЭКСПЛУАТАЦИИ, ПРОИЗВОДИТЕЛЬ: SHANDONG YAZHONG VEHICLE CO., LTD.,  МАРКА: YAZHONG, МОДЕЛЬ: WPZ9402Z, ГОД ВЫПУСКА: 2022, VIN: LA99HRZ37NCTTY687,  ПОЛУПРИЦЕП САМОСВАЛ  НОВЫЙ, МАРКА, МОДЕЛЬ: YAZHONG, WPZ9402Z, ГОД ВЫПУСКА: 2022</t>
  </si>
  <si>
    <t>50624/050126/0000019</t>
  </si>
  <si>
    <t>50624/050126/0000019/026</t>
  </si>
  <si>
    <t>Т/П "КОСТАНАЙ-ЦЕНТР ТАМОЖЕННОГО ОФОРМЛЕНИЯ"</t>
  </si>
  <si>
    <t>GEELY AUTOMOBILE INTERNATIONAL CORPORATION</t>
  </si>
  <si>
    <t>КИТАЙ, ROOM 1016 BUILDING 1, COMMERCIAL BUILDING, LIAOHE ROAD, XINQI STREET</t>
  </si>
  <si>
    <t>ТОО САРЫАРКААВТОПРОМ</t>
  </si>
  <si>
    <t>КАЗАХСТАН, Г. КОСТАНАЙ, УЛ. ПРОМЫШЛЕННАЯ 41</t>
  </si>
  <si>
    <t>ZHEJIANG</t>
  </si>
  <si>
    <t>GEELY AUTOMOBILE INTERNATIONAL CORPORATION;</t>
  </si>
  <si>
    <t>НЕУСТАНОВЛЕН/GEELY</t>
  </si>
  <si>
    <t>1. АККУМУЛЯТОРЫ ЭЛЕКТРИЧЕСКИЕ, СВИНЦОВЫЕ, ИСПОЛЬЗУЕМЫЕ ДЛЯ ЗАПУСКА ПОРШНЕВЫХ ДВИГАТЕЛЕЙ, РАБОТАЮЩИЕ  С ЖИДКИМ ЭЛЕКТРОЛИТОМ, МАССОЙ БОЛЕЕ 5 КГ ДЛЯ СБОРКИ АВТОМОБИЛЕЙ МАРКИ GEELY,</t>
  </si>
  <si>
    <t>АККУМУЛЯТОР/BATTERY; ПРОИЗВОДИТЕЛЬ: GEELY AUTOMOBILE INTERNATIONAL CORPORATION; ТОВАРНЫЙ ЗНАК: НЕУСТАНОВЛЕН; МАРКА ТОВАРА: GEELY; , КОЛИЧЕСТВО: 64.00 ШТ;</t>
  </si>
  <si>
    <t>50624/050126/0000024</t>
  </si>
  <si>
    <t>50624/050126/0000024/001</t>
  </si>
  <si>
    <t>QINGDAO KINGSTONE INDUSTRY CO.,LTD</t>
  </si>
  <si>
    <t>КИТАЙ, NO.88 BAIFENG ROAD,JIAOHE ECONOMIC DISTRICT,HUANGDAO, QINGDAO,SHANDONG,CHINA</t>
  </si>
  <si>
    <t>ТОО AGRO APEX</t>
  </si>
  <si>
    <t>КАЗАХСТАН, Г.АСТАНА, УЛ.БОГЕНБАЙ БАТЫРА,16, ОФИС 306</t>
  </si>
  <si>
    <t>QINGDAO KINGSTONE INDUSTRY CO.,LTD;</t>
  </si>
  <si>
    <t>QINGDAO KINGSTONE</t>
  </si>
  <si>
    <t>1. МАТЫ РЕЗИНОВЫЕ, ПРЯМОЙ КРАЙ. 1.22M*1.83M*20MM (ДЛЯ ЖИВОТНОВОДЧЕСКИХ КОМПЛЕКСОВ),</t>
  </si>
  <si>
    <t>(ПРИМЕНЯЮТСЯ В ЖИВОТНОВОДСТВЕ); ПРОИЗВОДИТЕЛЬ: QINGDAO KINGSTONE INDUSTRY CO.,LTD; ТОВАРНЫЙ ЗНАК: QINGDAO KINGSTONE; МАРКА ТОВАРА: QINGDAO KINGSTONE; , КОЛИЧЕСТВО: 1200.00 ШТ;</t>
  </si>
  <si>
    <t>50624/050126/0000019/001</t>
  </si>
  <si>
    <t>1. КУЗОВА (ВКЛЮЧАЯ КАБИНЫ) ДЛЯ МОТОРНЫХ ТРАНСПОРТНЫХ СРЕДСТВ ДЛЯ СБОРКИ АВТОМОБИЛЕЙ МАРКИ GEELY,  КУЗОВ АВТОМОБИЛЯ В СБОРЕ/SKD BODY ASSY L6TFS1S84TD002992 L6TFS1S88TD002980:Производитель:GEELY  AUTOMOBILE INTERNATIONAL CORPORATION, Товарный знак:НЕУСТАНОВ</t>
  </si>
  <si>
    <t>КУЗОВ АВТОМОБИЛЯ В СБОРЕ/SKD BODY ASSY L6TFS1S84TD002992 L6TFS1S88TD002980; ПРОИЗВОДИТЕЛЬ: GEELY AUTOMOBILE INTERNATIONAL CORPORATION; ТОВАРНЫЙ ЗНАК: НЕУСТАНОВЛЕН; МАРКА ТОВАРА: GEELY; , КОЛИЧЕСТВО: 2.00 ШТ; КУЗОВ АВТОМОБИЛЯ В СБОРЕ/SKD BODY ASSY L6TFS1S85TD002922 L6TFS1S82TD003011 L6TFS1S89TD002972 L6TFS1S83TD002885 L6TFS1S86TD002881 L6TFS1S80TD002889 L6TFS1S89TD002888 L6TFS1S83TD003003 L6TFS1S81TD002920 L6TFS1S81TD002934 L6TFS1S80TD002925 L6TFS1S86TD00 3027; ПРОИЗВОДИТЕЛЬ: GEELY AUTOMOBILE INTERNATIONAL CORPORATION; ТОВАРНЫЙ ЗНАК: НЕУСТАНОВЛЕН; МАРКА ТОВАРА: GEELY; , КОЛИЧЕСТВО: 12.00 ШТ; КУЗОВ АВТОМОБИЛЯ В СБОРЕ/SKD BODY ASSY L6TFS1S85TD003018 L6TFS1S88TD003031 L6TFS1S8XTD002933 L6TFS1S84TD003026 L6TFS1S85TD002936 L6TFS1S89TD002924 L6TFS1S87TD002923 L6TFS1S88TD002929 L6TFS1S82TD002912 L6TFS1S87TD002985 L6TFS1S85TD002998 L6TFS1S81TD00 2982; ПРОИЗВОДИТЕЛЬ: GEELY AUTOMOBILE INTERNATIONAL CORPORATION; ТОВАРНЫЙ ЗНАК: НЕУСТАНОВЛЕН; МАРКА ТОВАРА: GEELY; , КОЛИЧЕСТВО: 12.00 ШТ; КУЗОВ АВТОМОБИЛЯ В СБОРЕ/SKD BODY ASSY L6TFS1S8XTD002950 L6TFS1S84TD003012 L6TFS1S88TD003000 L6TFS1S87TD002954 L6TFS1S81TD003033 L6TFS1S87TD002999 L6TFS1S87TD002971 L6TFS1S89TD002955 L6TFS1S81TD002951 L6TFS1S83TD003020 L6TFS1S84TD002894 L6TFS1S81TD00 2979; ПРОИЗВОДИТЕЛЬ: GEELY AUTOMOBILE INTERNATIONAL CORPORATION; ТОВАРНЫЙ ЗНАК: НЕУСТАНОВЛЕН; МАРКА ТОВАРА: GEELY; , КОЛИЧЕСТВО: 18.00 ШТ;</t>
  </si>
  <si>
    <t>50624/050126/0000019/002</t>
  </si>
  <si>
    <t>1. ДВИГАТЕЛИ ВНУТРЕННЕГО СГОРАНИЯ С ИСКРОВЫМ ЗАЖИГАНИЕМ, С ВОЗВРАТНО- ПОСТУПАТЕЛЬНЫМ ДВИЖЕНИЕМ  ПОРШНЯ, ИСПОЛЬЗУЕМЫЕ ДЛЯ ПРИВЕДЕНИЯ В ДВИЖЕНИЕ ТРАНСПОРТНЫХ СРЕДСТВ ГРУППЫ 87, С РАБОЧИМ ОБЪЕМОМ  ЦИЛИНДРОВ ДВИГАТЕЛЯ БОЛЕЕ 1500 СМ?, , НОВЫЕ ДЛЯ СБОРКИ  АВТОМ</t>
  </si>
  <si>
    <t>ДВИГАТЕЛЬ И КОРОБКА ПЕРЕДАЧ/FRONT AXLE ASSY JLH-4G20TDG*SATE1120838* JLH-4G20TDG*SATE1120846* JLH-4G20TDG*SATE1120771* JLH-4G20TDG*SATE1120931* JLH-4G20TDG*SATE1120851* JLH-4G20TDG*SATE1120867* JLH-4G20TDG*SATE1120860* JLH-4G20TDG*SATE1120916* JLH-4G 20TD; ПРОИЗВОДИТЕЛЬ: GEELY AUTOMOBILE INTERNATIONAL CORPORATION; ТОВАРНЫЙ ЗНАК: НЕУСТАНОВЛЕН; МАРКА ТОВАРА: GEELY; , КОЛИЧЕСТВО: 40.00 ШТ;</t>
  </si>
  <si>
    <t>50624/050126/0000019/003</t>
  </si>
  <si>
    <t>1. МОСТЫ ВЕДУЩИЕ С ДИФФЕРЕНЦИАЛОМ В СБОРЕ ИЛИ ОТДЕЛЬНО ОТ ДРУГИХ ЭЛЕМЕНТОВ ТРАНСМИССИИ И МОСТЫ  НЕВЕДУЩИЕ, ДЛЯ СБОРКИ АВТОМОБИЛЕЙ МАРКИ GEELY, СБОРКА ЗАДНЕГО МОСТА/REAR AXLE  ASSY:Производитель:GEELY AUTOMOBILE INTERNATIONAL CORPORATION, Товарный знак:НЕУ</t>
  </si>
  <si>
    <t>СБОРКА ЗАДНЕГО МОСТА/REAR AXLE ASSY; ПРОИЗВОДИТЕЛЬ: GEELY AUTOMOBILE INTERNATIONAL CORPORATION; ТОВАРНЫЙ ЗНАК: НЕУСТАНОВЛЕН; МАРКА ТОВАРА: GEELY; , КОЛИЧЕСТВО: 42.00 ШТ; СБОРКА ЗАДНЕГО МОСТА/REAR AXLE ASSY; ПРОИЗВОДИТЕЛЬ: GEELY AUTOMOBILE INTERNATIONAL CORPORATION; ТОВАРНЫЙ ЗНАК: НЕУСТАНОВЛЕН; МАРКА ТОВАРА: GEELY; , КОЛИЧЕСТВО: 2.00 ШТ;</t>
  </si>
  <si>
    <t>50624/050126/0000019/004</t>
  </si>
  <si>
    <t>1. ИЗДЕЛИЯ ИЗ ПЛАСТМАСС И ИЗДЕЛИЯ ИЗ МАТЕРИАЛОВ ДЛЯ СБОРКИ АВТОМОБИЛЕЙ МАРКИ GEELY, КОЛПАЧОК НА  КОЛЁСНЫЙ БОЛТ/WHEEL SCREW CAP-DARK GREY:Производитель:GEELY AUTOMOBILE INTERNATIONAL CORPORATION,  Товарный знак:НЕУСТАНОВЛЕН, Марки:GEELY, Модель товаров:FS1</t>
  </si>
  <si>
    <t>50624/050126/0000019/010</t>
  </si>
  <si>
    <t>1. АМОРТИЗАТОРЫ ПОДВЕСКИ, ДЛЯ СБОРКИ АВТОМОБИЛЕЙ МАРКИ GEELY, ПРАВЫЙ ЗАДНИЙ АМОРТИЗАТОР В  СБОРЕ/SHOCK ABSORBER ASSY-RR RH:Производитель:GEELY AUTOMOBILE INTERNATIONAL CORPORATION, Товарный  знак:НЕУСТАНОВЛЕН, Марки:GEELY, Модель товаров:FS11, Артикул тов</t>
  </si>
  <si>
    <t>ПРАВЫЙ ЗАДНИЙ АМОРТИЗАТОР В СБОРЕ/SHOCK ABSORBER ASSY-RR RH; ПРОИЗВОДИТЕЛЬ: GEELY AUTOMOBILE INTERNATIONAL CORPORATION; ТОВАРНЫЙ ЗНАК: НЕУСТАНОВЛЕН; МАРКА ТОВАРА: GEELY; , КОЛИЧЕСТВО: 64.00 ШТ; ЛЕВЫЙ ЗАДНИЙ АМОРТИЗАТОР В СБОРЕ/SHOCK ABSORBER ASSY-RR LH; ПРОИЗВОДИТЕЛЬ: GEELY AUTOMOBILE INTERNATIONAL CORPORATION; ТОВАРНЫЙ ЗНАК: НЕУСТАНОВЛЕН; МАРКА ТОВАРА: GEELY; , КОЛИЧЕСТВО: 64.00 ШТ;</t>
  </si>
  <si>
    <t>50624/050126/0000019/016</t>
  </si>
  <si>
    <t>1. ЧАСТИ ГЛУШИТЕЛЕЙ И ВЫХЛОПНЫХ ТРУБ, ДЛЯ СБОРКИ АВТОМОБИЛЕЙ МАРКИ GEELY,</t>
  </si>
  <si>
    <t>ХОЛОДНЫЙ КОНЕЦ ВЫХЛОПА/COLD END-EXHAUST; ПРОИЗВОДИТЕЛЬ: GEELY AUTOMOBILE INTERNATIONAL CORPORATION; ТОВАРНЫЙ ЗНАК: НЕУСТАНОВЛЕН; МАРКА ТОВАРА: GEELY; , КОЛИЧЕСТВО: 44.00 ШТ;</t>
  </si>
  <si>
    <t>50624/050126/0000019/018</t>
  </si>
  <si>
    <t>1. СИСТЕМЫ ПОДВЕСКИ И ИХ ЧАСТИ, ДЛЯ СБОРКИ АВТОМОБИЛЕЙ МАРКИ GEELY,</t>
  </si>
  <si>
    <t>ЗАДНЯЯ ПОДВЕСКА ВИНТОВОЙ ПРУЖИНЫ/SPRING-RR SUSP; ПРОИЗВОДИТЕЛЬ: GEELY AUTOMOBILE INTERNATIONAL CORPORATION; ТОВАРНЫЙ ЗНАК: НЕУСТАНОВЛЕН; МАРКА ТОВАРА: GEELY; , КОЛИЧЕСТВО: 128.00 ШТ;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</si>
</sst>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7" fillId="33" borderId="0" xfId="0" applyFont="1" applyFill="1" applyAlignment="1">
      <alignment horizontal="center" vertic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0"/>
  <sheetViews>
    <sheetView tabSelected="1" workbookViewId="0">
      <pane ySplit="1" topLeftCell="A2" activePane="bottomLeft" state="frozen"/>
      <selection pane="bottomLeft" sqref="A1:XFD1"/>
    </sheetView>
  </sheetViews>
  <sheetFormatPr defaultColWidth="30.7109375" defaultRowHeight="15" x14ac:dyDescent="0.25"/>
  <cols>
    <col min="1" max="16384" width="30.7109375" style="1"/>
  </cols>
  <sheetData>
    <row r="1" spans="1:42" s="3" customFormat="1" ht="32.2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</row>
    <row r="2" spans="1:42" x14ac:dyDescent="0.25">
      <c r="A2" s="1" t="s">
        <v>42</v>
      </c>
      <c r="B2" s="1" t="s">
        <v>43</v>
      </c>
      <c r="C2" s="2">
        <v>46023</v>
      </c>
      <c r="D2" s="1">
        <v>39857507</v>
      </c>
      <c r="F2" s="1" t="s">
        <v>44</v>
      </c>
      <c r="G2" s="1">
        <v>78</v>
      </c>
      <c r="H2" s="1" t="s">
        <v>45</v>
      </c>
      <c r="I2" s="1" t="s">
        <v>46</v>
      </c>
      <c r="J2" s="1" t="s">
        <v>47</v>
      </c>
      <c r="K2" s="1" t="s">
        <v>48</v>
      </c>
      <c r="L2" s="1" t="str">
        <f>"180440024333 "</f>
        <v xml:space="preserve">180440024333 </v>
      </c>
      <c r="N2" s="1" t="s">
        <v>49</v>
      </c>
      <c r="O2" s="1" t="s">
        <v>50</v>
      </c>
      <c r="P2" s="1" t="s">
        <v>49</v>
      </c>
      <c r="Q2" s="1" t="s">
        <v>50</v>
      </c>
      <c r="R2" s="1" t="s">
        <v>49</v>
      </c>
      <c r="S2" s="1" t="s">
        <v>51</v>
      </c>
      <c r="T2" s="1" t="s">
        <v>52</v>
      </c>
      <c r="U2" s="1" t="s">
        <v>53</v>
      </c>
      <c r="V2" s="1" t="s">
        <v>54</v>
      </c>
      <c r="X2" s="1">
        <v>505.53</v>
      </c>
      <c r="Y2" s="1" t="s">
        <v>55</v>
      </c>
      <c r="Z2" s="1" t="s">
        <v>56</v>
      </c>
      <c r="AA2" s="1" t="s">
        <v>57</v>
      </c>
      <c r="AB2" s="1" t="s">
        <v>58</v>
      </c>
      <c r="AC2" s="1">
        <v>25869</v>
      </c>
      <c r="AD2" s="1" t="s">
        <v>59</v>
      </c>
      <c r="AE2" s="1" t="s">
        <v>49</v>
      </c>
      <c r="AF2" s="1" t="s">
        <v>50</v>
      </c>
      <c r="AG2" s="1" t="str">
        <f>"4703210009 "</f>
        <v xml:space="preserve">4703210009 </v>
      </c>
      <c r="AH2" s="1">
        <v>25869</v>
      </c>
      <c r="AI2" s="1">
        <v>25869</v>
      </c>
      <c r="AJ2" s="1">
        <v>23799.48</v>
      </c>
      <c r="AK2" s="1">
        <v>14260738.42</v>
      </c>
      <c r="AL2" s="1">
        <v>28209.48</v>
      </c>
      <c r="AM2" s="1">
        <v>31</v>
      </c>
      <c r="AN2" s="1" t="s">
        <v>60</v>
      </c>
      <c r="AO2" s="1">
        <v>31</v>
      </c>
      <c r="AP2" s="1" t="s">
        <v>60</v>
      </c>
    </row>
    <row r="3" spans="1:42" x14ac:dyDescent="0.25">
      <c r="A3" s="1" t="s">
        <v>61</v>
      </c>
      <c r="B3" s="1" t="s">
        <v>62</v>
      </c>
      <c r="C3" s="2">
        <v>46024</v>
      </c>
      <c r="D3" s="1">
        <v>39857504</v>
      </c>
      <c r="F3" s="1" t="s">
        <v>44</v>
      </c>
      <c r="G3" s="1">
        <v>40</v>
      </c>
      <c r="H3" s="1" t="s">
        <v>63</v>
      </c>
      <c r="I3" s="1" t="s">
        <v>64</v>
      </c>
      <c r="J3" s="1" t="s">
        <v>65</v>
      </c>
      <c r="K3" s="1" t="s">
        <v>66</v>
      </c>
      <c r="L3" s="1" t="str">
        <f>"90840006023 "</f>
        <v xml:space="preserve">90840006023 </v>
      </c>
      <c r="N3" s="1" t="s">
        <v>67</v>
      </c>
      <c r="O3" s="1" t="s">
        <v>68</v>
      </c>
      <c r="P3" s="1" t="s">
        <v>49</v>
      </c>
      <c r="Q3" s="1" t="s">
        <v>50</v>
      </c>
      <c r="R3" s="1" t="s">
        <v>49</v>
      </c>
      <c r="S3" s="1" t="s">
        <v>51</v>
      </c>
      <c r="T3" s="1" t="s">
        <v>52</v>
      </c>
      <c r="U3" s="1" t="s">
        <v>69</v>
      </c>
      <c r="V3" s="1" t="s">
        <v>70</v>
      </c>
      <c r="X3" s="1">
        <v>505.53</v>
      </c>
      <c r="Y3" s="1" t="s">
        <v>71</v>
      </c>
      <c r="Z3" s="1" t="s">
        <v>72</v>
      </c>
      <c r="AA3" s="1" t="s">
        <v>73</v>
      </c>
      <c r="AB3" s="1" t="s">
        <v>74</v>
      </c>
      <c r="AC3" s="1">
        <f>0</f>
        <v>0</v>
      </c>
      <c r="AE3" s="1" t="s">
        <v>49</v>
      </c>
      <c r="AF3" s="1" t="s">
        <v>50</v>
      </c>
      <c r="AG3" s="1" t="str">
        <f>"7326110000 "</f>
        <v xml:space="preserve">7326110000 </v>
      </c>
      <c r="AH3" s="1">
        <v>417280</v>
      </c>
      <c r="AI3" s="1">
        <v>416000</v>
      </c>
      <c r="AJ3" s="1">
        <v>424681.92</v>
      </c>
      <c r="AK3" s="1">
        <v>253319539.02000001</v>
      </c>
      <c r="AL3" s="1">
        <v>501096.95</v>
      </c>
      <c r="AM3" s="1">
        <v>20</v>
      </c>
      <c r="AN3" s="1" t="s">
        <v>75</v>
      </c>
      <c r="AO3" s="1">
        <v>20</v>
      </c>
      <c r="AP3" s="1" t="s">
        <v>75</v>
      </c>
    </row>
    <row r="4" spans="1:42" x14ac:dyDescent="0.25">
      <c r="A4" s="1" t="s">
        <v>76</v>
      </c>
      <c r="B4" s="1" t="s">
        <v>77</v>
      </c>
      <c r="C4" s="2">
        <v>46024</v>
      </c>
      <c r="D4" s="1">
        <v>39857504</v>
      </c>
      <c r="F4" s="1" t="s">
        <v>44</v>
      </c>
      <c r="G4" s="1">
        <v>40</v>
      </c>
      <c r="H4" s="1" t="s">
        <v>63</v>
      </c>
      <c r="I4" s="1" t="s">
        <v>64</v>
      </c>
      <c r="J4" s="1" t="s">
        <v>78</v>
      </c>
      <c r="K4" s="1" t="s">
        <v>79</v>
      </c>
      <c r="L4" s="1" t="str">
        <f>"90540005490 "</f>
        <v xml:space="preserve">90540005490 </v>
      </c>
      <c r="N4" s="1" t="s">
        <v>67</v>
      </c>
      <c r="O4" s="1" t="s">
        <v>68</v>
      </c>
      <c r="P4" s="1" t="s">
        <v>49</v>
      </c>
      <c r="Q4" s="1" t="s">
        <v>50</v>
      </c>
      <c r="R4" s="1" t="s">
        <v>49</v>
      </c>
      <c r="S4" s="1" t="s">
        <v>51</v>
      </c>
      <c r="T4" s="1" t="s">
        <v>52</v>
      </c>
      <c r="U4" s="1" t="s">
        <v>69</v>
      </c>
      <c r="V4" s="1" t="s">
        <v>70</v>
      </c>
      <c r="X4" s="1">
        <v>505.53</v>
      </c>
      <c r="Y4" s="1" t="s">
        <v>71</v>
      </c>
      <c r="Z4" s="1" t="s">
        <v>80</v>
      </c>
      <c r="AA4" s="1" t="s">
        <v>81</v>
      </c>
      <c r="AB4" s="1" t="s">
        <v>82</v>
      </c>
      <c r="AC4" s="1">
        <f>0</f>
        <v>0</v>
      </c>
      <c r="AE4" s="1" t="s">
        <v>49</v>
      </c>
      <c r="AF4" s="1" t="s">
        <v>50</v>
      </c>
      <c r="AG4" s="1" t="str">
        <f>"7326110000 "</f>
        <v xml:space="preserve">7326110000 </v>
      </c>
      <c r="AH4" s="1">
        <v>208640</v>
      </c>
      <c r="AI4" s="1">
        <v>208000</v>
      </c>
      <c r="AJ4" s="1">
        <v>212340.96</v>
      </c>
      <c r="AK4" s="1">
        <v>127101707.91</v>
      </c>
      <c r="AL4" s="1">
        <v>251422.68</v>
      </c>
      <c r="AM4" s="1">
        <v>20</v>
      </c>
      <c r="AN4" s="1" t="s">
        <v>75</v>
      </c>
      <c r="AO4" s="1">
        <v>20</v>
      </c>
      <c r="AP4" s="1" t="s">
        <v>75</v>
      </c>
    </row>
    <row r="5" spans="1:42" x14ac:dyDescent="0.25">
      <c r="A5" s="1" t="s">
        <v>83</v>
      </c>
      <c r="B5" s="1" t="s">
        <v>84</v>
      </c>
      <c r="C5" s="2">
        <v>46024</v>
      </c>
      <c r="D5" s="1">
        <v>39857504</v>
      </c>
      <c r="F5" s="1" t="s">
        <v>44</v>
      </c>
      <c r="G5" s="1">
        <v>40</v>
      </c>
      <c r="H5" s="1" t="s">
        <v>63</v>
      </c>
      <c r="I5" s="1" t="s">
        <v>64</v>
      </c>
      <c r="J5" s="1" t="s">
        <v>65</v>
      </c>
      <c r="K5" s="1" t="s">
        <v>85</v>
      </c>
      <c r="L5" s="1" t="str">
        <f>"90840006023 "</f>
        <v xml:space="preserve">90840006023 </v>
      </c>
      <c r="N5" s="1" t="s">
        <v>67</v>
      </c>
      <c r="O5" s="1" t="s">
        <v>68</v>
      </c>
      <c r="P5" s="1" t="s">
        <v>49</v>
      </c>
      <c r="Q5" s="1" t="s">
        <v>50</v>
      </c>
      <c r="R5" s="1" t="s">
        <v>49</v>
      </c>
      <c r="S5" s="1" t="s">
        <v>51</v>
      </c>
      <c r="T5" s="1" t="s">
        <v>52</v>
      </c>
      <c r="U5" s="1" t="s">
        <v>69</v>
      </c>
      <c r="V5" s="1" t="s">
        <v>70</v>
      </c>
      <c r="X5" s="1">
        <v>505.53</v>
      </c>
      <c r="Y5" s="1" t="s">
        <v>71</v>
      </c>
      <c r="Z5" s="1" t="s">
        <v>72</v>
      </c>
      <c r="AA5" s="1" t="s">
        <v>86</v>
      </c>
      <c r="AB5" s="1" t="s">
        <v>87</v>
      </c>
      <c r="AC5" s="1">
        <f>0</f>
        <v>0</v>
      </c>
      <c r="AE5" s="1" t="s">
        <v>49</v>
      </c>
      <c r="AF5" s="1" t="s">
        <v>50</v>
      </c>
      <c r="AG5" s="1" t="str">
        <f>"7326110000 "</f>
        <v xml:space="preserve">7326110000 </v>
      </c>
      <c r="AH5" s="1">
        <v>678080</v>
      </c>
      <c r="AI5" s="1">
        <v>676000</v>
      </c>
      <c r="AJ5" s="1">
        <v>690108.12</v>
      </c>
      <c r="AK5" s="1">
        <v>411645784.89999998</v>
      </c>
      <c r="AL5" s="1">
        <v>814285.57</v>
      </c>
      <c r="AM5" s="1">
        <v>20</v>
      </c>
      <c r="AN5" s="1" t="s">
        <v>75</v>
      </c>
      <c r="AO5" s="1">
        <v>20</v>
      </c>
      <c r="AP5" s="1" t="s">
        <v>75</v>
      </c>
    </row>
    <row r="6" spans="1:42" x14ac:dyDescent="0.25">
      <c r="A6" s="1" t="s">
        <v>88</v>
      </c>
      <c r="B6" s="1" t="s">
        <v>89</v>
      </c>
      <c r="C6" s="2">
        <v>46025</v>
      </c>
      <c r="D6" s="1">
        <v>39855403</v>
      </c>
      <c r="E6" s="1" t="s">
        <v>90</v>
      </c>
      <c r="F6" s="1" t="s">
        <v>44</v>
      </c>
      <c r="G6" s="1">
        <v>40</v>
      </c>
      <c r="H6" s="1" t="s">
        <v>91</v>
      </c>
      <c r="I6" s="1" t="s">
        <v>92</v>
      </c>
      <c r="J6" s="1" t="s">
        <v>93</v>
      </c>
      <c r="K6" s="1" t="s">
        <v>94</v>
      </c>
      <c r="L6" s="1" t="str">
        <f>"220940035614 "</f>
        <v xml:space="preserve">220940035614 </v>
      </c>
      <c r="N6" s="1" t="s">
        <v>49</v>
      </c>
      <c r="O6" s="1" t="s">
        <v>50</v>
      </c>
      <c r="P6" s="1" t="s">
        <v>49</v>
      </c>
      <c r="Q6" s="1" t="s">
        <v>50</v>
      </c>
      <c r="R6" s="1" t="s">
        <v>49</v>
      </c>
      <c r="S6" s="1" t="s">
        <v>51</v>
      </c>
      <c r="T6" s="1" t="s">
        <v>52</v>
      </c>
      <c r="U6" s="1" t="s">
        <v>53</v>
      </c>
      <c r="V6" s="1" t="s">
        <v>95</v>
      </c>
      <c r="X6" s="1">
        <v>72.33</v>
      </c>
      <c r="Y6" s="1" t="s">
        <v>96</v>
      </c>
      <c r="Z6" s="1" t="s">
        <v>97</v>
      </c>
      <c r="AA6" s="1" t="s">
        <v>98</v>
      </c>
      <c r="AB6" s="1" t="s">
        <v>99</v>
      </c>
      <c r="AC6" s="1">
        <f>0</f>
        <v>0</v>
      </c>
      <c r="AE6" s="1" t="s">
        <v>49</v>
      </c>
      <c r="AF6" s="1" t="s">
        <v>50</v>
      </c>
      <c r="AG6" s="1" t="str">
        <f>"9619008109 "</f>
        <v xml:space="preserve">9619008109 </v>
      </c>
      <c r="AH6" s="1">
        <v>1147.3</v>
      </c>
      <c r="AI6" s="1">
        <v>1056.3499999999999</v>
      </c>
      <c r="AJ6" s="1">
        <v>20025.599999999999</v>
      </c>
      <c r="AK6" s="1">
        <v>1678465.1</v>
      </c>
      <c r="AL6" s="1">
        <v>3320.21</v>
      </c>
      <c r="AM6" s="1">
        <v>31</v>
      </c>
      <c r="AN6" s="1" t="s">
        <v>60</v>
      </c>
      <c r="AO6" s="1">
        <v>31</v>
      </c>
      <c r="AP6" s="1" t="s">
        <v>60</v>
      </c>
    </row>
    <row r="7" spans="1:42" x14ac:dyDescent="0.25">
      <c r="A7" s="1" t="s">
        <v>88</v>
      </c>
      <c r="B7" s="1" t="s">
        <v>100</v>
      </c>
      <c r="C7" s="2">
        <v>46025</v>
      </c>
      <c r="D7" s="1">
        <v>39855403</v>
      </c>
      <c r="E7" s="1" t="s">
        <v>90</v>
      </c>
      <c r="F7" s="1" t="s">
        <v>44</v>
      </c>
      <c r="G7" s="1">
        <v>40</v>
      </c>
      <c r="H7" s="1" t="s">
        <v>91</v>
      </c>
      <c r="I7" s="1" t="s">
        <v>92</v>
      </c>
      <c r="J7" s="1" t="s">
        <v>93</v>
      </c>
      <c r="K7" s="1" t="s">
        <v>94</v>
      </c>
      <c r="L7" s="1" t="str">
        <f>"220940035614 "</f>
        <v xml:space="preserve">220940035614 </v>
      </c>
      <c r="N7" s="1" t="s">
        <v>49</v>
      </c>
      <c r="O7" s="1" t="s">
        <v>50</v>
      </c>
      <c r="P7" s="1" t="s">
        <v>49</v>
      </c>
      <c r="Q7" s="1" t="s">
        <v>50</v>
      </c>
      <c r="R7" s="1" t="s">
        <v>49</v>
      </c>
      <c r="S7" s="1" t="s">
        <v>51</v>
      </c>
      <c r="T7" s="1" t="s">
        <v>52</v>
      </c>
      <c r="U7" s="1" t="s">
        <v>53</v>
      </c>
      <c r="V7" s="1" t="s">
        <v>95</v>
      </c>
      <c r="X7" s="1">
        <v>72.33</v>
      </c>
      <c r="Y7" s="1" t="s">
        <v>96</v>
      </c>
      <c r="Z7" s="1" t="s">
        <v>97</v>
      </c>
      <c r="AA7" s="1" t="s">
        <v>101</v>
      </c>
      <c r="AB7" s="1" t="s">
        <v>102</v>
      </c>
      <c r="AC7" s="1">
        <f>0</f>
        <v>0</v>
      </c>
      <c r="AE7" s="1" t="s">
        <v>49</v>
      </c>
      <c r="AF7" s="1" t="s">
        <v>50</v>
      </c>
      <c r="AG7" s="1" t="str">
        <f>"9619008109 "</f>
        <v xml:space="preserve">9619008109 </v>
      </c>
      <c r="AH7" s="1">
        <v>552.50099999999998</v>
      </c>
      <c r="AI7" s="1">
        <v>525.20000000000005</v>
      </c>
      <c r="AJ7" s="1">
        <v>8633.2800000000007</v>
      </c>
      <c r="AK7" s="1">
        <v>735211.86</v>
      </c>
      <c r="AL7" s="1">
        <v>1454.34</v>
      </c>
      <c r="AM7" s="1">
        <v>31</v>
      </c>
      <c r="AN7" s="1" t="s">
        <v>60</v>
      </c>
      <c r="AO7" s="1">
        <v>31</v>
      </c>
      <c r="AP7" s="1" t="s">
        <v>60</v>
      </c>
    </row>
    <row r="8" spans="1:42" x14ac:dyDescent="0.25">
      <c r="A8" s="1" t="s">
        <v>88</v>
      </c>
      <c r="B8" s="1" t="s">
        <v>103</v>
      </c>
      <c r="C8" s="2">
        <v>46025</v>
      </c>
      <c r="D8" s="1">
        <v>39855403</v>
      </c>
      <c r="E8" s="1" t="s">
        <v>90</v>
      </c>
      <c r="F8" s="1" t="s">
        <v>44</v>
      </c>
      <c r="G8" s="1">
        <v>40</v>
      </c>
      <c r="H8" s="1" t="s">
        <v>91</v>
      </c>
      <c r="I8" s="1" t="s">
        <v>92</v>
      </c>
      <c r="J8" s="1" t="s">
        <v>93</v>
      </c>
      <c r="K8" s="1" t="s">
        <v>94</v>
      </c>
      <c r="L8" s="1" t="str">
        <f>"220940035614 "</f>
        <v xml:space="preserve">220940035614 </v>
      </c>
      <c r="N8" s="1" t="s">
        <v>49</v>
      </c>
      <c r="O8" s="1" t="s">
        <v>50</v>
      </c>
      <c r="P8" s="1" t="s">
        <v>49</v>
      </c>
      <c r="Q8" s="1" t="s">
        <v>50</v>
      </c>
      <c r="R8" s="1" t="s">
        <v>49</v>
      </c>
      <c r="S8" s="1" t="s">
        <v>51</v>
      </c>
      <c r="T8" s="1" t="s">
        <v>52</v>
      </c>
      <c r="U8" s="1" t="s">
        <v>53</v>
      </c>
      <c r="V8" s="1" t="s">
        <v>95</v>
      </c>
      <c r="X8" s="1">
        <v>72.33</v>
      </c>
      <c r="Y8" s="1" t="s">
        <v>96</v>
      </c>
      <c r="Z8" s="1" t="s">
        <v>97</v>
      </c>
      <c r="AA8" s="1" t="s">
        <v>104</v>
      </c>
      <c r="AB8" s="1" t="s">
        <v>105</v>
      </c>
      <c r="AC8" s="1">
        <f>0</f>
        <v>0</v>
      </c>
      <c r="AE8" s="1" t="s">
        <v>49</v>
      </c>
      <c r="AF8" s="1" t="s">
        <v>50</v>
      </c>
      <c r="AG8" s="1" t="str">
        <f>"9619008109 "</f>
        <v xml:space="preserve">9619008109 </v>
      </c>
      <c r="AH8" s="1">
        <v>3539.5189999999998</v>
      </c>
      <c r="AI8" s="1">
        <v>3152.8</v>
      </c>
      <c r="AJ8" s="1">
        <v>42517.760000000002</v>
      </c>
      <c r="AK8" s="1">
        <v>3784920.83</v>
      </c>
      <c r="AL8" s="1">
        <v>7487.04</v>
      </c>
      <c r="AM8" s="1">
        <v>31</v>
      </c>
      <c r="AN8" s="1" t="s">
        <v>60</v>
      </c>
      <c r="AO8" s="1">
        <v>31</v>
      </c>
      <c r="AP8" s="1" t="s">
        <v>60</v>
      </c>
    </row>
    <row r="9" spans="1:42" x14ac:dyDescent="0.25">
      <c r="A9" s="1" t="s">
        <v>88</v>
      </c>
      <c r="B9" s="1" t="s">
        <v>106</v>
      </c>
      <c r="C9" s="2">
        <v>46025</v>
      </c>
      <c r="D9" s="1">
        <v>39855403</v>
      </c>
      <c r="E9" s="1" t="s">
        <v>90</v>
      </c>
      <c r="F9" s="1" t="s">
        <v>44</v>
      </c>
      <c r="G9" s="1">
        <v>40</v>
      </c>
      <c r="H9" s="1" t="s">
        <v>91</v>
      </c>
      <c r="I9" s="1" t="s">
        <v>92</v>
      </c>
      <c r="J9" s="1" t="s">
        <v>93</v>
      </c>
      <c r="K9" s="1" t="s">
        <v>94</v>
      </c>
      <c r="L9" s="1" t="str">
        <f>"220940035614 "</f>
        <v xml:space="preserve">220940035614 </v>
      </c>
      <c r="N9" s="1" t="s">
        <v>49</v>
      </c>
      <c r="O9" s="1" t="s">
        <v>50</v>
      </c>
      <c r="P9" s="1" t="s">
        <v>49</v>
      </c>
      <c r="Q9" s="1" t="s">
        <v>50</v>
      </c>
      <c r="R9" s="1" t="s">
        <v>49</v>
      </c>
      <c r="S9" s="1" t="s">
        <v>51</v>
      </c>
      <c r="T9" s="1" t="s">
        <v>52</v>
      </c>
      <c r="U9" s="1" t="s">
        <v>53</v>
      </c>
      <c r="V9" s="1" t="s">
        <v>95</v>
      </c>
      <c r="X9" s="1">
        <v>72.33</v>
      </c>
      <c r="Y9" s="1" t="s">
        <v>96</v>
      </c>
      <c r="Z9" s="1" t="s">
        <v>97</v>
      </c>
      <c r="AA9" s="1" t="s">
        <v>107</v>
      </c>
      <c r="AB9" s="1" t="s">
        <v>108</v>
      </c>
      <c r="AC9" s="1">
        <f>0</f>
        <v>0</v>
      </c>
      <c r="AE9" s="1" t="s">
        <v>49</v>
      </c>
      <c r="AF9" s="1" t="s">
        <v>50</v>
      </c>
      <c r="AG9" s="1" t="str">
        <f>"9619008109 "</f>
        <v xml:space="preserve">9619008109 </v>
      </c>
      <c r="AH9" s="1">
        <v>8538.5</v>
      </c>
      <c r="AI9" s="1">
        <v>7684.8</v>
      </c>
      <c r="AJ9" s="1">
        <v>97468.88</v>
      </c>
      <c r="AK9" s="1">
        <v>8761743.0399999991</v>
      </c>
      <c r="AL9" s="1">
        <v>17331.8</v>
      </c>
      <c r="AM9" s="1">
        <v>31</v>
      </c>
      <c r="AN9" s="1" t="s">
        <v>60</v>
      </c>
      <c r="AO9" s="1">
        <v>31</v>
      </c>
      <c r="AP9" s="1" t="s">
        <v>60</v>
      </c>
    </row>
    <row r="10" spans="1:42" x14ac:dyDescent="0.25">
      <c r="A10" s="1" t="s">
        <v>109</v>
      </c>
      <c r="B10" s="1" t="s">
        <v>110</v>
      </c>
      <c r="C10" s="2">
        <v>46025</v>
      </c>
      <c r="D10" s="1">
        <v>39857505</v>
      </c>
      <c r="F10" s="1" t="s">
        <v>44</v>
      </c>
      <c r="G10" s="1">
        <v>40</v>
      </c>
      <c r="H10" s="1" t="s">
        <v>111</v>
      </c>
      <c r="I10" s="1" t="s">
        <v>112</v>
      </c>
      <c r="J10" s="1" t="s">
        <v>113</v>
      </c>
      <c r="K10" s="1" t="s">
        <v>114</v>
      </c>
      <c r="L10" s="1" t="str">
        <f t="shared" ref="L10:L22" si="0">"120440013624 "</f>
        <v xml:space="preserve">120440013624 </v>
      </c>
      <c r="N10" s="1" t="s">
        <v>49</v>
      </c>
      <c r="O10" s="1" t="s">
        <v>50</v>
      </c>
      <c r="P10" s="1" t="s">
        <v>49</v>
      </c>
      <c r="Q10" s="1" t="s">
        <v>50</v>
      </c>
      <c r="R10" s="1" t="s">
        <v>49</v>
      </c>
      <c r="S10" s="1" t="s">
        <v>51</v>
      </c>
      <c r="T10" s="1" t="s">
        <v>52</v>
      </c>
      <c r="U10" s="1" t="s">
        <v>115</v>
      </c>
      <c r="V10" s="1" t="s">
        <v>116</v>
      </c>
      <c r="X10" s="1">
        <v>72.33</v>
      </c>
      <c r="Y10" s="1" t="s">
        <v>117</v>
      </c>
      <c r="AA10" s="1" t="s">
        <v>118</v>
      </c>
      <c r="AB10" s="1" t="s">
        <v>119</v>
      </c>
      <c r="AC10" s="1">
        <v>1</v>
      </c>
      <c r="AD10" s="1" t="s">
        <v>120</v>
      </c>
      <c r="AE10" s="1" t="s">
        <v>49</v>
      </c>
      <c r="AF10" s="1" t="s">
        <v>50</v>
      </c>
      <c r="AG10" s="1" t="str">
        <f>"8429200099 "</f>
        <v xml:space="preserve">8429200099 </v>
      </c>
      <c r="AH10" s="1">
        <v>19333</v>
      </c>
      <c r="AI10" s="1">
        <v>19333</v>
      </c>
      <c r="AJ10" s="1">
        <v>725381</v>
      </c>
      <c r="AK10" s="1">
        <v>52516807.729999997</v>
      </c>
      <c r="AL10" s="1">
        <v>103884.65</v>
      </c>
      <c r="AM10" s="1">
        <v>90</v>
      </c>
      <c r="AN10" s="1" t="s">
        <v>121</v>
      </c>
      <c r="AO10" s="1">
        <v>90</v>
      </c>
      <c r="AP10" s="1" t="s">
        <v>121</v>
      </c>
    </row>
    <row r="11" spans="1:42" x14ac:dyDescent="0.25">
      <c r="A11" s="1" t="s">
        <v>109</v>
      </c>
      <c r="B11" s="1" t="s">
        <v>122</v>
      </c>
      <c r="C11" s="2">
        <v>46025</v>
      </c>
      <c r="D11" s="1">
        <v>39857505</v>
      </c>
      <c r="F11" s="1" t="s">
        <v>44</v>
      </c>
      <c r="G11" s="1">
        <v>40</v>
      </c>
      <c r="H11" s="1" t="s">
        <v>111</v>
      </c>
      <c r="I11" s="1" t="s">
        <v>112</v>
      </c>
      <c r="J11" s="1" t="s">
        <v>113</v>
      </c>
      <c r="K11" s="1" t="s">
        <v>114</v>
      </c>
      <c r="L11" s="1" t="str">
        <f t="shared" si="0"/>
        <v xml:space="preserve">120440013624 </v>
      </c>
      <c r="N11" s="1" t="s">
        <v>49</v>
      </c>
      <c r="O11" s="1" t="s">
        <v>50</v>
      </c>
      <c r="P11" s="1" t="s">
        <v>49</v>
      </c>
      <c r="Q11" s="1" t="s">
        <v>50</v>
      </c>
      <c r="R11" s="1" t="s">
        <v>49</v>
      </c>
      <c r="S11" s="1" t="s">
        <v>51</v>
      </c>
      <c r="T11" s="1" t="s">
        <v>52</v>
      </c>
      <c r="U11" s="1" t="s">
        <v>115</v>
      </c>
      <c r="V11" s="1" t="s">
        <v>116</v>
      </c>
      <c r="X11" s="1">
        <v>72.33</v>
      </c>
      <c r="Y11" s="1" t="s">
        <v>117</v>
      </c>
      <c r="AA11" s="1" t="s">
        <v>123</v>
      </c>
      <c r="AB11" s="1" t="s">
        <v>119</v>
      </c>
      <c r="AC11" s="1">
        <v>1</v>
      </c>
      <c r="AD11" s="1" t="s">
        <v>120</v>
      </c>
      <c r="AE11" s="1" t="s">
        <v>49</v>
      </c>
      <c r="AF11" s="1" t="s">
        <v>50</v>
      </c>
      <c r="AG11" s="1" t="str">
        <f>"8429200099 "</f>
        <v xml:space="preserve">8429200099 </v>
      </c>
      <c r="AH11" s="1">
        <v>19333</v>
      </c>
      <c r="AI11" s="1">
        <v>19333</v>
      </c>
      <c r="AJ11" s="1">
        <v>725381</v>
      </c>
      <c r="AK11" s="1">
        <v>52516807.729999997</v>
      </c>
      <c r="AL11" s="1">
        <v>103884.65</v>
      </c>
      <c r="AM11" s="1">
        <v>90</v>
      </c>
      <c r="AN11" s="1" t="s">
        <v>121</v>
      </c>
      <c r="AO11" s="1">
        <v>90</v>
      </c>
      <c r="AP11" s="1" t="s">
        <v>121</v>
      </c>
    </row>
    <row r="12" spans="1:42" x14ac:dyDescent="0.25">
      <c r="A12" s="1" t="s">
        <v>109</v>
      </c>
      <c r="B12" s="1" t="s">
        <v>124</v>
      </c>
      <c r="C12" s="2">
        <v>46025</v>
      </c>
      <c r="D12" s="1">
        <v>39857505</v>
      </c>
      <c r="F12" s="1" t="s">
        <v>44</v>
      </c>
      <c r="G12" s="1">
        <v>40</v>
      </c>
      <c r="H12" s="1" t="s">
        <v>111</v>
      </c>
      <c r="I12" s="1" t="s">
        <v>112</v>
      </c>
      <c r="J12" s="1" t="s">
        <v>113</v>
      </c>
      <c r="K12" s="1" t="s">
        <v>114</v>
      </c>
      <c r="L12" s="1" t="str">
        <f t="shared" si="0"/>
        <v xml:space="preserve">120440013624 </v>
      </c>
      <c r="N12" s="1" t="s">
        <v>49</v>
      </c>
      <c r="O12" s="1" t="s">
        <v>50</v>
      </c>
      <c r="P12" s="1" t="s">
        <v>49</v>
      </c>
      <c r="Q12" s="1" t="s">
        <v>50</v>
      </c>
      <c r="R12" s="1" t="s">
        <v>49</v>
      </c>
      <c r="S12" s="1" t="s">
        <v>51</v>
      </c>
      <c r="T12" s="1" t="s">
        <v>52</v>
      </c>
      <c r="U12" s="1" t="s">
        <v>115</v>
      </c>
      <c r="V12" s="1" t="s">
        <v>116</v>
      </c>
      <c r="X12" s="1">
        <v>72.33</v>
      </c>
      <c r="Y12" s="1" t="s">
        <v>117</v>
      </c>
      <c r="AA12" s="1" t="s">
        <v>125</v>
      </c>
      <c r="AB12" s="1" t="s">
        <v>119</v>
      </c>
      <c r="AC12" s="1">
        <v>1</v>
      </c>
      <c r="AD12" s="1" t="s">
        <v>120</v>
      </c>
      <c r="AE12" s="1" t="s">
        <v>49</v>
      </c>
      <c r="AF12" s="1" t="s">
        <v>50</v>
      </c>
      <c r="AG12" s="1" t="str">
        <f>"8429200099 "</f>
        <v xml:space="preserve">8429200099 </v>
      </c>
      <c r="AH12" s="1">
        <v>19333</v>
      </c>
      <c r="AI12" s="1">
        <v>19333</v>
      </c>
      <c r="AJ12" s="1">
        <v>725381</v>
      </c>
      <c r="AK12" s="1">
        <v>52516807.729999997</v>
      </c>
      <c r="AL12" s="1">
        <v>103884.65</v>
      </c>
      <c r="AM12" s="1">
        <v>90</v>
      </c>
      <c r="AN12" s="1" t="s">
        <v>121</v>
      </c>
      <c r="AO12" s="1">
        <v>90</v>
      </c>
      <c r="AP12" s="1" t="s">
        <v>121</v>
      </c>
    </row>
    <row r="13" spans="1:42" x14ac:dyDescent="0.25">
      <c r="A13" s="1" t="s">
        <v>126</v>
      </c>
      <c r="B13" s="1" t="s">
        <v>127</v>
      </c>
      <c r="C13" s="2">
        <v>46025</v>
      </c>
      <c r="D13" s="1">
        <v>39857505</v>
      </c>
      <c r="F13" s="1" t="s">
        <v>44</v>
      </c>
      <c r="G13" s="1">
        <v>40</v>
      </c>
      <c r="H13" s="1" t="s">
        <v>111</v>
      </c>
      <c r="I13" s="1" t="s">
        <v>128</v>
      </c>
      <c r="J13" s="1" t="s">
        <v>113</v>
      </c>
      <c r="K13" s="1" t="s">
        <v>114</v>
      </c>
      <c r="L13" s="1" t="str">
        <f t="shared" si="0"/>
        <v xml:space="preserve">120440013624 </v>
      </c>
      <c r="N13" s="1" t="s">
        <v>49</v>
      </c>
      <c r="O13" s="1" t="s">
        <v>50</v>
      </c>
      <c r="P13" s="1" t="s">
        <v>49</v>
      </c>
      <c r="Q13" s="1" t="s">
        <v>50</v>
      </c>
      <c r="R13" s="1" t="s">
        <v>49</v>
      </c>
      <c r="S13" s="1" t="s">
        <v>51</v>
      </c>
      <c r="T13" s="1" t="s">
        <v>52</v>
      </c>
      <c r="U13" s="1" t="s">
        <v>115</v>
      </c>
      <c r="V13" s="1" t="s">
        <v>116</v>
      </c>
      <c r="X13" s="1">
        <v>72.33</v>
      </c>
      <c r="Y13" s="1" t="s">
        <v>129</v>
      </c>
      <c r="Z13" s="1" t="s">
        <v>130</v>
      </c>
      <c r="AA13" s="1" t="s">
        <v>131</v>
      </c>
      <c r="AB13" s="1" t="s">
        <v>132</v>
      </c>
      <c r="AC13" s="1">
        <v>1</v>
      </c>
      <c r="AD13" s="1" t="s">
        <v>120</v>
      </c>
      <c r="AE13" s="1" t="s">
        <v>49</v>
      </c>
      <c r="AF13" s="1" t="s">
        <v>50</v>
      </c>
      <c r="AG13" s="1" t="str">
        <f t="shared" ref="AG13:AG22" si="1">"8429401000 "</f>
        <v xml:space="preserve">8429401000 </v>
      </c>
      <c r="AH13" s="1">
        <v>18000</v>
      </c>
      <c r="AI13" s="1">
        <v>18000</v>
      </c>
      <c r="AJ13" s="1">
        <v>266269.13</v>
      </c>
      <c r="AK13" s="1">
        <v>19309246.170000002</v>
      </c>
      <c r="AL13" s="1">
        <v>38196.04</v>
      </c>
      <c r="AM13" s="1">
        <v>90</v>
      </c>
      <c r="AN13" s="1" t="s">
        <v>121</v>
      </c>
      <c r="AO13" s="1">
        <v>90</v>
      </c>
      <c r="AP13" s="1" t="s">
        <v>121</v>
      </c>
    </row>
    <row r="14" spans="1:42" x14ac:dyDescent="0.25">
      <c r="A14" s="1" t="s">
        <v>126</v>
      </c>
      <c r="B14" s="1" t="s">
        <v>133</v>
      </c>
      <c r="C14" s="2">
        <v>46025</v>
      </c>
      <c r="D14" s="1">
        <v>39857505</v>
      </c>
      <c r="F14" s="1" t="s">
        <v>44</v>
      </c>
      <c r="G14" s="1">
        <v>40</v>
      </c>
      <c r="H14" s="1" t="s">
        <v>111</v>
      </c>
      <c r="I14" s="1" t="s">
        <v>128</v>
      </c>
      <c r="J14" s="1" t="s">
        <v>113</v>
      </c>
      <c r="K14" s="1" t="s">
        <v>114</v>
      </c>
      <c r="L14" s="1" t="str">
        <f t="shared" si="0"/>
        <v xml:space="preserve">120440013624 </v>
      </c>
      <c r="N14" s="1" t="s">
        <v>49</v>
      </c>
      <c r="O14" s="1" t="s">
        <v>50</v>
      </c>
      <c r="P14" s="1" t="s">
        <v>49</v>
      </c>
      <c r="Q14" s="1" t="s">
        <v>50</v>
      </c>
      <c r="R14" s="1" t="s">
        <v>49</v>
      </c>
      <c r="S14" s="1" t="s">
        <v>51</v>
      </c>
      <c r="T14" s="1" t="s">
        <v>52</v>
      </c>
      <c r="U14" s="1" t="s">
        <v>115</v>
      </c>
      <c r="V14" s="1" t="s">
        <v>116</v>
      </c>
      <c r="X14" s="1">
        <v>72.33</v>
      </c>
      <c r="Y14" s="1" t="s">
        <v>129</v>
      </c>
      <c r="Z14" s="1" t="s">
        <v>130</v>
      </c>
      <c r="AA14" s="1" t="s">
        <v>134</v>
      </c>
      <c r="AB14" s="1" t="s">
        <v>135</v>
      </c>
      <c r="AC14" s="1">
        <v>1</v>
      </c>
      <c r="AD14" s="1" t="s">
        <v>120</v>
      </c>
      <c r="AE14" s="1" t="s">
        <v>49</v>
      </c>
      <c r="AF14" s="1" t="s">
        <v>50</v>
      </c>
      <c r="AG14" s="1" t="str">
        <f t="shared" si="1"/>
        <v xml:space="preserve">8429401000 </v>
      </c>
      <c r="AH14" s="1">
        <v>18000</v>
      </c>
      <c r="AI14" s="1">
        <v>18000</v>
      </c>
      <c r="AJ14" s="1">
        <v>266269.13</v>
      </c>
      <c r="AK14" s="1">
        <v>19309246.170000002</v>
      </c>
      <c r="AL14" s="1">
        <v>38196.04</v>
      </c>
      <c r="AM14" s="1">
        <v>90</v>
      </c>
      <c r="AN14" s="1" t="s">
        <v>121</v>
      </c>
      <c r="AO14" s="1">
        <v>90</v>
      </c>
      <c r="AP14" s="1" t="s">
        <v>121</v>
      </c>
    </row>
    <row r="15" spans="1:42" x14ac:dyDescent="0.25">
      <c r="A15" s="1" t="s">
        <v>126</v>
      </c>
      <c r="B15" s="1" t="s">
        <v>136</v>
      </c>
      <c r="C15" s="2">
        <v>46025</v>
      </c>
      <c r="D15" s="1">
        <v>39857505</v>
      </c>
      <c r="F15" s="1" t="s">
        <v>44</v>
      </c>
      <c r="G15" s="1">
        <v>40</v>
      </c>
      <c r="H15" s="1" t="s">
        <v>111</v>
      </c>
      <c r="I15" s="1" t="s">
        <v>128</v>
      </c>
      <c r="J15" s="1" t="s">
        <v>113</v>
      </c>
      <c r="K15" s="1" t="s">
        <v>114</v>
      </c>
      <c r="L15" s="1" t="str">
        <f t="shared" si="0"/>
        <v xml:space="preserve">120440013624 </v>
      </c>
      <c r="N15" s="1" t="s">
        <v>49</v>
      </c>
      <c r="O15" s="1" t="s">
        <v>50</v>
      </c>
      <c r="P15" s="1" t="s">
        <v>49</v>
      </c>
      <c r="Q15" s="1" t="s">
        <v>50</v>
      </c>
      <c r="R15" s="1" t="s">
        <v>49</v>
      </c>
      <c r="S15" s="1" t="s">
        <v>51</v>
      </c>
      <c r="T15" s="1" t="s">
        <v>52</v>
      </c>
      <c r="U15" s="1" t="s">
        <v>115</v>
      </c>
      <c r="V15" s="1" t="s">
        <v>116</v>
      </c>
      <c r="X15" s="1">
        <v>72.33</v>
      </c>
      <c r="Y15" s="1" t="s">
        <v>129</v>
      </c>
      <c r="Z15" s="1" t="s">
        <v>130</v>
      </c>
      <c r="AA15" s="1" t="s">
        <v>137</v>
      </c>
      <c r="AB15" s="1" t="s">
        <v>138</v>
      </c>
      <c r="AC15" s="1">
        <v>1</v>
      </c>
      <c r="AD15" s="1" t="s">
        <v>120</v>
      </c>
      <c r="AE15" s="1" t="s">
        <v>49</v>
      </c>
      <c r="AF15" s="1" t="s">
        <v>50</v>
      </c>
      <c r="AG15" s="1" t="str">
        <f t="shared" si="1"/>
        <v xml:space="preserve">8429401000 </v>
      </c>
      <c r="AH15" s="1">
        <v>18000</v>
      </c>
      <c r="AI15" s="1">
        <v>18000</v>
      </c>
      <c r="AJ15" s="1">
        <v>266269.13</v>
      </c>
      <c r="AK15" s="1">
        <v>19309246.170000002</v>
      </c>
      <c r="AL15" s="1">
        <v>38196.04</v>
      </c>
      <c r="AM15" s="1">
        <v>90</v>
      </c>
      <c r="AN15" s="1" t="s">
        <v>121</v>
      </c>
      <c r="AO15" s="1">
        <v>90</v>
      </c>
      <c r="AP15" s="1" t="s">
        <v>121</v>
      </c>
    </row>
    <row r="16" spans="1:42" x14ac:dyDescent="0.25">
      <c r="A16" s="1" t="s">
        <v>126</v>
      </c>
      <c r="B16" s="1" t="s">
        <v>139</v>
      </c>
      <c r="C16" s="2">
        <v>46025</v>
      </c>
      <c r="D16" s="1">
        <v>39857505</v>
      </c>
      <c r="F16" s="1" t="s">
        <v>44</v>
      </c>
      <c r="G16" s="1">
        <v>40</v>
      </c>
      <c r="H16" s="1" t="s">
        <v>111</v>
      </c>
      <c r="I16" s="1" t="s">
        <v>128</v>
      </c>
      <c r="J16" s="1" t="s">
        <v>113</v>
      </c>
      <c r="K16" s="1" t="s">
        <v>114</v>
      </c>
      <c r="L16" s="1" t="str">
        <f t="shared" si="0"/>
        <v xml:space="preserve">120440013624 </v>
      </c>
      <c r="N16" s="1" t="s">
        <v>49</v>
      </c>
      <c r="O16" s="1" t="s">
        <v>50</v>
      </c>
      <c r="P16" s="1" t="s">
        <v>49</v>
      </c>
      <c r="Q16" s="1" t="s">
        <v>50</v>
      </c>
      <c r="R16" s="1" t="s">
        <v>49</v>
      </c>
      <c r="S16" s="1" t="s">
        <v>51</v>
      </c>
      <c r="T16" s="1" t="s">
        <v>52</v>
      </c>
      <c r="U16" s="1" t="s">
        <v>115</v>
      </c>
      <c r="V16" s="1" t="s">
        <v>116</v>
      </c>
      <c r="X16" s="1">
        <v>72.33</v>
      </c>
      <c r="Y16" s="1" t="s">
        <v>129</v>
      </c>
      <c r="Z16" s="1" t="s">
        <v>130</v>
      </c>
      <c r="AA16" s="1" t="s">
        <v>140</v>
      </c>
      <c r="AB16" s="1" t="s">
        <v>141</v>
      </c>
      <c r="AC16" s="1">
        <v>1</v>
      </c>
      <c r="AD16" s="1" t="s">
        <v>120</v>
      </c>
      <c r="AE16" s="1" t="s">
        <v>49</v>
      </c>
      <c r="AF16" s="1" t="s">
        <v>50</v>
      </c>
      <c r="AG16" s="1" t="str">
        <f t="shared" si="1"/>
        <v xml:space="preserve">8429401000 </v>
      </c>
      <c r="AH16" s="1">
        <v>18000</v>
      </c>
      <c r="AI16" s="1">
        <v>18000</v>
      </c>
      <c r="AJ16" s="1">
        <v>266269.13</v>
      </c>
      <c r="AK16" s="1">
        <v>19309246.170000002</v>
      </c>
      <c r="AL16" s="1">
        <v>38196.04</v>
      </c>
      <c r="AM16" s="1">
        <v>90</v>
      </c>
      <c r="AN16" s="1" t="s">
        <v>121</v>
      </c>
      <c r="AO16" s="1">
        <v>90</v>
      </c>
      <c r="AP16" s="1" t="s">
        <v>121</v>
      </c>
    </row>
    <row r="17" spans="1:42" x14ac:dyDescent="0.25">
      <c r="A17" s="1" t="s">
        <v>126</v>
      </c>
      <c r="B17" s="1" t="s">
        <v>142</v>
      </c>
      <c r="C17" s="2">
        <v>46025</v>
      </c>
      <c r="D17" s="1">
        <v>39857505</v>
      </c>
      <c r="F17" s="1" t="s">
        <v>44</v>
      </c>
      <c r="G17" s="1">
        <v>40</v>
      </c>
      <c r="H17" s="1" t="s">
        <v>111</v>
      </c>
      <c r="I17" s="1" t="s">
        <v>128</v>
      </c>
      <c r="J17" s="1" t="s">
        <v>113</v>
      </c>
      <c r="K17" s="1" t="s">
        <v>114</v>
      </c>
      <c r="L17" s="1" t="str">
        <f t="shared" si="0"/>
        <v xml:space="preserve">120440013624 </v>
      </c>
      <c r="N17" s="1" t="s">
        <v>49</v>
      </c>
      <c r="O17" s="1" t="s">
        <v>50</v>
      </c>
      <c r="P17" s="1" t="s">
        <v>49</v>
      </c>
      <c r="Q17" s="1" t="s">
        <v>50</v>
      </c>
      <c r="R17" s="1" t="s">
        <v>49</v>
      </c>
      <c r="S17" s="1" t="s">
        <v>51</v>
      </c>
      <c r="T17" s="1" t="s">
        <v>52</v>
      </c>
      <c r="U17" s="1" t="s">
        <v>115</v>
      </c>
      <c r="V17" s="1" t="s">
        <v>116</v>
      </c>
      <c r="X17" s="1">
        <v>72.33</v>
      </c>
      <c r="Y17" s="1" t="s">
        <v>129</v>
      </c>
      <c r="Z17" s="1" t="s">
        <v>130</v>
      </c>
      <c r="AA17" s="1" t="s">
        <v>143</v>
      </c>
      <c r="AB17" s="1" t="s">
        <v>144</v>
      </c>
      <c r="AC17" s="1">
        <v>1</v>
      </c>
      <c r="AD17" s="1" t="s">
        <v>120</v>
      </c>
      <c r="AE17" s="1" t="s">
        <v>49</v>
      </c>
      <c r="AF17" s="1" t="s">
        <v>50</v>
      </c>
      <c r="AG17" s="1" t="str">
        <f t="shared" si="1"/>
        <v xml:space="preserve">8429401000 </v>
      </c>
      <c r="AH17" s="1">
        <v>18000</v>
      </c>
      <c r="AI17" s="1">
        <v>18000</v>
      </c>
      <c r="AJ17" s="1">
        <v>266269.13</v>
      </c>
      <c r="AK17" s="1">
        <v>19309246.170000002</v>
      </c>
      <c r="AL17" s="1">
        <v>38196.04</v>
      </c>
      <c r="AM17" s="1">
        <v>90</v>
      </c>
      <c r="AN17" s="1" t="s">
        <v>121</v>
      </c>
      <c r="AO17" s="1">
        <v>90</v>
      </c>
      <c r="AP17" s="1" t="s">
        <v>121</v>
      </c>
    </row>
    <row r="18" spans="1:42" x14ac:dyDescent="0.25">
      <c r="A18" s="1" t="s">
        <v>145</v>
      </c>
      <c r="B18" s="1" t="s">
        <v>146</v>
      </c>
      <c r="C18" s="2">
        <v>46025</v>
      </c>
      <c r="D18" s="1">
        <v>39857505</v>
      </c>
      <c r="F18" s="1" t="s">
        <v>44</v>
      </c>
      <c r="G18" s="1">
        <v>40</v>
      </c>
      <c r="H18" s="1" t="s">
        <v>111</v>
      </c>
      <c r="I18" s="1" t="s">
        <v>128</v>
      </c>
      <c r="J18" s="1" t="s">
        <v>113</v>
      </c>
      <c r="K18" s="1" t="s">
        <v>114</v>
      </c>
      <c r="L18" s="1" t="str">
        <f t="shared" si="0"/>
        <v xml:space="preserve">120440013624 </v>
      </c>
      <c r="N18" s="1" t="s">
        <v>49</v>
      </c>
      <c r="O18" s="1" t="s">
        <v>50</v>
      </c>
      <c r="P18" s="1" t="s">
        <v>49</v>
      </c>
      <c r="Q18" s="1" t="s">
        <v>50</v>
      </c>
      <c r="R18" s="1" t="s">
        <v>49</v>
      </c>
      <c r="S18" s="1" t="s">
        <v>51</v>
      </c>
      <c r="T18" s="1" t="s">
        <v>52</v>
      </c>
      <c r="U18" s="1" t="s">
        <v>115</v>
      </c>
      <c r="V18" s="1" t="s">
        <v>116</v>
      </c>
      <c r="X18" s="1">
        <v>72.33</v>
      </c>
      <c r="Y18" s="1" t="s">
        <v>129</v>
      </c>
      <c r="Z18" s="1" t="s">
        <v>130</v>
      </c>
      <c r="AA18" s="1" t="s">
        <v>147</v>
      </c>
      <c r="AB18" s="1" t="s">
        <v>148</v>
      </c>
      <c r="AC18" s="1">
        <v>1</v>
      </c>
      <c r="AD18" s="1" t="s">
        <v>120</v>
      </c>
      <c r="AE18" s="1" t="s">
        <v>49</v>
      </c>
      <c r="AF18" s="1" t="s">
        <v>50</v>
      </c>
      <c r="AG18" s="1" t="str">
        <f t="shared" si="1"/>
        <v xml:space="preserve">8429401000 </v>
      </c>
      <c r="AH18" s="1">
        <v>16000</v>
      </c>
      <c r="AI18" s="1">
        <v>16000</v>
      </c>
      <c r="AJ18" s="1">
        <v>252897.31</v>
      </c>
      <c r="AK18" s="1">
        <v>18342062.43</v>
      </c>
      <c r="AL18" s="1">
        <v>36282.839999999997</v>
      </c>
      <c r="AM18" s="1">
        <v>90</v>
      </c>
      <c r="AN18" s="1" t="s">
        <v>121</v>
      </c>
      <c r="AO18" s="1">
        <v>90</v>
      </c>
      <c r="AP18" s="1" t="s">
        <v>121</v>
      </c>
    </row>
    <row r="19" spans="1:42" x14ac:dyDescent="0.25">
      <c r="A19" s="1" t="s">
        <v>145</v>
      </c>
      <c r="B19" s="1" t="s">
        <v>149</v>
      </c>
      <c r="C19" s="2">
        <v>46025</v>
      </c>
      <c r="D19" s="1">
        <v>39857505</v>
      </c>
      <c r="F19" s="1" t="s">
        <v>44</v>
      </c>
      <c r="G19" s="1">
        <v>40</v>
      </c>
      <c r="H19" s="1" t="s">
        <v>111</v>
      </c>
      <c r="I19" s="1" t="s">
        <v>128</v>
      </c>
      <c r="J19" s="1" t="s">
        <v>113</v>
      </c>
      <c r="K19" s="1" t="s">
        <v>114</v>
      </c>
      <c r="L19" s="1" t="str">
        <f t="shared" si="0"/>
        <v xml:space="preserve">120440013624 </v>
      </c>
      <c r="N19" s="1" t="s">
        <v>49</v>
      </c>
      <c r="O19" s="1" t="s">
        <v>50</v>
      </c>
      <c r="P19" s="1" t="s">
        <v>49</v>
      </c>
      <c r="Q19" s="1" t="s">
        <v>50</v>
      </c>
      <c r="R19" s="1" t="s">
        <v>49</v>
      </c>
      <c r="S19" s="1" t="s">
        <v>51</v>
      </c>
      <c r="T19" s="1" t="s">
        <v>52</v>
      </c>
      <c r="U19" s="1" t="s">
        <v>115</v>
      </c>
      <c r="V19" s="1" t="s">
        <v>116</v>
      </c>
      <c r="X19" s="1">
        <v>72.33</v>
      </c>
      <c r="Y19" s="1" t="s">
        <v>129</v>
      </c>
      <c r="Z19" s="1" t="s">
        <v>130</v>
      </c>
      <c r="AA19" s="1" t="s">
        <v>150</v>
      </c>
      <c r="AB19" s="1" t="s">
        <v>151</v>
      </c>
      <c r="AC19" s="1">
        <v>1</v>
      </c>
      <c r="AD19" s="1" t="s">
        <v>120</v>
      </c>
      <c r="AE19" s="1" t="s">
        <v>49</v>
      </c>
      <c r="AF19" s="1" t="s">
        <v>50</v>
      </c>
      <c r="AG19" s="1" t="str">
        <f t="shared" si="1"/>
        <v xml:space="preserve">8429401000 </v>
      </c>
      <c r="AH19" s="1">
        <v>16000</v>
      </c>
      <c r="AI19" s="1">
        <v>16000</v>
      </c>
      <c r="AJ19" s="1">
        <v>252897.31</v>
      </c>
      <c r="AK19" s="1">
        <v>18342062.43</v>
      </c>
      <c r="AL19" s="1">
        <v>36282.839999999997</v>
      </c>
      <c r="AM19" s="1">
        <v>90</v>
      </c>
      <c r="AN19" s="1" t="s">
        <v>121</v>
      </c>
      <c r="AO19" s="1">
        <v>90</v>
      </c>
      <c r="AP19" s="1" t="s">
        <v>121</v>
      </c>
    </row>
    <row r="20" spans="1:42" x14ac:dyDescent="0.25">
      <c r="A20" s="1" t="s">
        <v>145</v>
      </c>
      <c r="B20" s="1" t="s">
        <v>152</v>
      </c>
      <c r="C20" s="2">
        <v>46025</v>
      </c>
      <c r="D20" s="1">
        <v>39857505</v>
      </c>
      <c r="F20" s="1" t="s">
        <v>44</v>
      </c>
      <c r="G20" s="1">
        <v>40</v>
      </c>
      <c r="H20" s="1" t="s">
        <v>111</v>
      </c>
      <c r="I20" s="1" t="s">
        <v>128</v>
      </c>
      <c r="J20" s="1" t="s">
        <v>113</v>
      </c>
      <c r="K20" s="1" t="s">
        <v>114</v>
      </c>
      <c r="L20" s="1" t="str">
        <f t="shared" si="0"/>
        <v xml:space="preserve">120440013624 </v>
      </c>
      <c r="N20" s="1" t="s">
        <v>49</v>
      </c>
      <c r="O20" s="1" t="s">
        <v>50</v>
      </c>
      <c r="P20" s="1" t="s">
        <v>49</v>
      </c>
      <c r="Q20" s="1" t="s">
        <v>50</v>
      </c>
      <c r="R20" s="1" t="s">
        <v>49</v>
      </c>
      <c r="S20" s="1" t="s">
        <v>51</v>
      </c>
      <c r="T20" s="1" t="s">
        <v>52</v>
      </c>
      <c r="U20" s="1" t="s">
        <v>115</v>
      </c>
      <c r="V20" s="1" t="s">
        <v>116</v>
      </c>
      <c r="X20" s="1">
        <v>72.33</v>
      </c>
      <c r="Y20" s="1" t="s">
        <v>129</v>
      </c>
      <c r="Z20" s="1" t="s">
        <v>130</v>
      </c>
      <c r="AA20" s="1" t="s">
        <v>153</v>
      </c>
      <c r="AB20" s="1" t="s">
        <v>154</v>
      </c>
      <c r="AC20" s="1">
        <v>1</v>
      </c>
      <c r="AD20" s="1" t="s">
        <v>120</v>
      </c>
      <c r="AE20" s="1" t="s">
        <v>49</v>
      </c>
      <c r="AF20" s="1" t="s">
        <v>50</v>
      </c>
      <c r="AG20" s="1" t="str">
        <f t="shared" si="1"/>
        <v xml:space="preserve">8429401000 </v>
      </c>
      <c r="AH20" s="1">
        <v>16000</v>
      </c>
      <c r="AI20" s="1">
        <v>16000</v>
      </c>
      <c r="AJ20" s="1">
        <v>252897.31</v>
      </c>
      <c r="AK20" s="1">
        <v>18342062.43</v>
      </c>
      <c r="AL20" s="1">
        <v>36282.839999999997</v>
      </c>
      <c r="AM20" s="1">
        <v>90</v>
      </c>
      <c r="AN20" s="1" t="s">
        <v>121</v>
      </c>
      <c r="AO20" s="1">
        <v>90</v>
      </c>
      <c r="AP20" s="1" t="s">
        <v>121</v>
      </c>
    </row>
    <row r="21" spans="1:42" x14ac:dyDescent="0.25">
      <c r="A21" s="1" t="s">
        <v>145</v>
      </c>
      <c r="B21" s="1" t="s">
        <v>155</v>
      </c>
      <c r="C21" s="2">
        <v>46025</v>
      </c>
      <c r="D21" s="1">
        <v>39857505</v>
      </c>
      <c r="F21" s="1" t="s">
        <v>44</v>
      </c>
      <c r="G21" s="1">
        <v>40</v>
      </c>
      <c r="H21" s="1" t="s">
        <v>111</v>
      </c>
      <c r="I21" s="1" t="s">
        <v>128</v>
      </c>
      <c r="J21" s="1" t="s">
        <v>113</v>
      </c>
      <c r="K21" s="1" t="s">
        <v>114</v>
      </c>
      <c r="L21" s="1" t="str">
        <f t="shared" si="0"/>
        <v xml:space="preserve">120440013624 </v>
      </c>
      <c r="N21" s="1" t="s">
        <v>49</v>
      </c>
      <c r="O21" s="1" t="s">
        <v>50</v>
      </c>
      <c r="P21" s="1" t="s">
        <v>49</v>
      </c>
      <c r="Q21" s="1" t="s">
        <v>50</v>
      </c>
      <c r="R21" s="1" t="s">
        <v>49</v>
      </c>
      <c r="S21" s="1" t="s">
        <v>51</v>
      </c>
      <c r="T21" s="1" t="s">
        <v>52</v>
      </c>
      <c r="U21" s="1" t="s">
        <v>115</v>
      </c>
      <c r="V21" s="1" t="s">
        <v>116</v>
      </c>
      <c r="X21" s="1">
        <v>72.33</v>
      </c>
      <c r="Y21" s="1" t="s">
        <v>129</v>
      </c>
      <c r="Z21" s="1" t="s">
        <v>130</v>
      </c>
      <c r="AA21" s="1" t="s">
        <v>156</v>
      </c>
      <c r="AB21" s="1" t="s">
        <v>157</v>
      </c>
      <c r="AC21" s="1">
        <v>1</v>
      </c>
      <c r="AD21" s="1" t="s">
        <v>120</v>
      </c>
      <c r="AE21" s="1" t="s">
        <v>49</v>
      </c>
      <c r="AF21" s="1" t="s">
        <v>50</v>
      </c>
      <c r="AG21" s="1" t="str">
        <f t="shared" si="1"/>
        <v xml:space="preserve">8429401000 </v>
      </c>
      <c r="AH21" s="1">
        <v>16000</v>
      </c>
      <c r="AI21" s="1">
        <v>16000</v>
      </c>
      <c r="AJ21" s="1">
        <v>252897.31</v>
      </c>
      <c r="AK21" s="1">
        <v>18342062.43</v>
      </c>
      <c r="AL21" s="1">
        <v>36282.839999999997</v>
      </c>
      <c r="AM21" s="1">
        <v>90</v>
      </c>
      <c r="AN21" s="1" t="s">
        <v>121</v>
      </c>
      <c r="AO21" s="1">
        <v>90</v>
      </c>
      <c r="AP21" s="1" t="s">
        <v>121</v>
      </c>
    </row>
    <row r="22" spans="1:42" x14ac:dyDescent="0.25">
      <c r="A22" s="1" t="s">
        <v>145</v>
      </c>
      <c r="B22" s="1" t="s">
        <v>158</v>
      </c>
      <c r="C22" s="2">
        <v>46025</v>
      </c>
      <c r="D22" s="1">
        <v>39857505</v>
      </c>
      <c r="F22" s="1" t="s">
        <v>44</v>
      </c>
      <c r="G22" s="1">
        <v>40</v>
      </c>
      <c r="H22" s="1" t="s">
        <v>111</v>
      </c>
      <c r="I22" s="1" t="s">
        <v>128</v>
      </c>
      <c r="J22" s="1" t="s">
        <v>113</v>
      </c>
      <c r="K22" s="1" t="s">
        <v>114</v>
      </c>
      <c r="L22" s="1" t="str">
        <f t="shared" si="0"/>
        <v xml:space="preserve">120440013624 </v>
      </c>
      <c r="N22" s="1" t="s">
        <v>49</v>
      </c>
      <c r="O22" s="1" t="s">
        <v>50</v>
      </c>
      <c r="P22" s="1" t="s">
        <v>49</v>
      </c>
      <c r="Q22" s="1" t="s">
        <v>50</v>
      </c>
      <c r="R22" s="1" t="s">
        <v>49</v>
      </c>
      <c r="S22" s="1" t="s">
        <v>51</v>
      </c>
      <c r="T22" s="1" t="s">
        <v>52</v>
      </c>
      <c r="U22" s="1" t="s">
        <v>115</v>
      </c>
      <c r="V22" s="1" t="s">
        <v>116</v>
      </c>
      <c r="X22" s="1">
        <v>72.33</v>
      </c>
      <c r="Y22" s="1" t="s">
        <v>129</v>
      </c>
      <c r="Z22" s="1" t="s">
        <v>130</v>
      </c>
      <c r="AA22" s="1" t="s">
        <v>159</v>
      </c>
      <c r="AB22" s="1" t="s">
        <v>160</v>
      </c>
      <c r="AC22" s="1">
        <v>1</v>
      </c>
      <c r="AD22" s="1" t="s">
        <v>120</v>
      </c>
      <c r="AE22" s="1" t="s">
        <v>49</v>
      </c>
      <c r="AF22" s="1" t="s">
        <v>50</v>
      </c>
      <c r="AG22" s="1" t="str">
        <f t="shared" si="1"/>
        <v xml:space="preserve">8429401000 </v>
      </c>
      <c r="AH22" s="1">
        <v>16000</v>
      </c>
      <c r="AI22" s="1">
        <v>16000</v>
      </c>
      <c r="AJ22" s="1">
        <v>252897.31</v>
      </c>
      <c r="AK22" s="1">
        <v>18342062.43</v>
      </c>
      <c r="AL22" s="1">
        <v>36282.839999999997</v>
      </c>
      <c r="AM22" s="1">
        <v>90</v>
      </c>
      <c r="AN22" s="1" t="s">
        <v>121</v>
      </c>
      <c r="AO22" s="1">
        <v>90</v>
      </c>
      <c r="AP22" s="1" t="s">
        <v>121</v>
      </c>
    </row>
    <row r="23" spans="1:42" x14ac:dyDescent="0.25">
      <c r="A23" s="1" t="s">
        <v>161</v>
      </c>
      <c r="B23" s="1" t="s">
        <v>162</v>
      </c>
      <c r="C23" s="2">
        <v>46026</v>
      </c>
      <c r="D23" s="1">
        <v>39855411</v>
      </c>
      <c r="F23" s="1" t="s">
        <v>44</v>
      </c>
      <c r="G23" s="1">
        <v>77</v>
      </c>
      <c r="H23" s="1" t="s">
        <v>163</v>
      </c>
      <c r="I23" s="1" t="s">
        <v>164</v>
      </c>
      <c r="K23" s="1" t="s">
        <v>165</v>
      </c>
      <c r="L23" s="1" t="str">
        <f t="shared" ref="L23:L30" si="2">"200740026238 "</f>
        <v xml:space="preserve">200740026238 </v>
      </c>
      <c r="N23" s="1" t="s">
        <v>49</v>
      </c>
      <c r="O23" s="1" t="s">
        <v>50</v>
      </c>
      <c r="P23" s="1" t="s">
        <v>49</v>
      </c>
      <c r="Q23" s="1" t="s">
        <v>50</v>
      </c>
      <c r="R23" s="1" t="s">
        <v>49</v>
      </c>
      <c r="S23" s="1" t="s">
        <v>51</v>
      </c>
      <c r="T23" s="1" t="s">
        <v>52</v>
      </c>
      <c r="U23" s="1" t="s">
        <v>53</v>
      </c>
      <c r="V23" s="1" t="s">
        <v>166</v>
      </c>
      <c r="X23" s="1">
        <v>505.53</v>
      </c>
      <c r="Y23" s="1" t="s">
        <v>167</v>
      </c>
      <c r="Z23" s="1" t="s">
        <v>168</v>
      </c>
      <c r="AA23" s="1" t="s">
        <v>169</v>
      </c>
      <c r="AB23" s="1" t="s">
        <v>170</v>
      </c>
      <c r="AC23" s="1">
        <f>0</f>
        <v>0</v>
      </c>
      <c r="AE23" s="1" t="s">
        <v>49</v>
      </c>
      <c r="AF23" s="1" t="s">
        <v>50</v>
      </c>
      <c r="AG23" s="1" t="str">
        <f t="shared" ref="AG23:AG30" si="3">"7321900000 "</f>
        <v xml:space="preserve">7321900000 </v>
      </c>
      <c r="AH23" s="1">
        <v>693</v>
      </c>
      <c r="AI23" s="1">
        <v>638</v>
      </c>
      <c r="AJ23" s="1">
        <v>751.68</v>
      </c>
      <c r="AK23" s="1">
        <v>399107.37</v>
      </c>
      <c r="AL23" s="1">
        <v>789.48</v>
      </c>
      <c r="AM23" s="1">
        <v>20</v>
      </c>
      <c r="AN23" s="1" t="s">
        <v>75</v>
      </c>
      <c r="AO23" s="1">
        <v>20</v>
      </c>
      <c r="AP23" s="1" t="s">
        <v>75</v>
      </c>
    </row>
    <row r="24" spans="1:42" x14ac:dyDescent="0.25">
      <c r="A24" s="1" t="s">
        <v>161</v>
      </c>
      <c r="B24" s="1" t="s">
        <v>171</v>
      </c>
      <c r="C24" s="2">
        <v>46026</v>
      </c>
      <c r="D24" s="1">
        <v>39855411</v>
      </c>
      <c r="F24" s="1" t="s">
        <v>44</v>
      </c>
      <c r="G24" s="1">
        <v>77</v>
      </c>
      <c r="H24" s="1" t="s">
        <v>163</v>
      </c>
      <c r="I24" s="1" t="s">
        <v>164</v>
      </c>
      <c r="K24" s="1" t="s">
        <v>165</v>
      </c>
      <c r="L24" s="1" t="str">
        <f t="shared" si="2"/>
        <v xml:space="preserve">200740026238 </v>
      </c>
      <c r="N24" s="1" t="s">
        <v>49</v>
      </c>
      <c r="O24" s="1" t="s">
        <v>50</v>
      </c>
      <c r="P24" s="1" t="s">
        <v>49</v>
      </c>
      <c r="Q24" s="1" t="s">
        <v>50</v>
      </c>
      <c r="R24" s="1" t="s">
        <v>49</v>
      </c>
      <c r="S24" s="1" t="s">
        <v>51</v>
      </c>
      <c r="T24" s="1" t="s">
        <v>52</v>
      </c>
      <c r="U24" s="1" t="s">
        <v>53</v>
      </c>
      <c r="V24" s="1" t="s">
        <v>166</v>
      </c>
      <c r="X24" s="1">
        <v>505.53</v>
      </c>
      <c r="Y24" s="1" t="s">
        <v>167</v>
      </c>
      <c r="Z24" s="1" t="s">
        <v>168</v>
      </c>
      <c r="AA24" s="1" t="s">
        <v>169</v>
      </c>
      <c r="AB24" s="1" t="s">
        <v>172</v>
      </c>
      <c r="AC24" s="1">
        <f>0</f>
        <v>0</v>
      </c>
      <c r="AE24" s="1" t="s">
        <v>49</v>
      </c>
      <c r="AF24" s="1" t="s">
        <v>50</v>
      </c>
      <c r="AG24" s="1" t="str">
        <f t="shared" si="3"/>
        <v xml:space="preserve">7321900000 </v>
      </c>
      <c r="AH24" s="1">
        <v>675</v>
      </c>
      <c r="AI24" s="1">
        <v>620</v>
      </c>
      <c r="AJ24" s="1">
        <v>730.95</v>
      </c>
      <c r="AK24" s="1">
        <v>388131.35</v>
      </c>
      <c r="AL24" s="1">
        <v>767.77</v>
      </c>
      <c r="AM24" s="1">
        <v>20</v>
      </c>
      <c r="AN24" s="1" t="s">
        <v>75</v>
      </c>
      <c r="AO24" s="1">
        <v>20</v>
      </c>
      <c r="AP24" s="1" t="s">
        <v>75</v>
      </c>
    </row>
    <row r="25" spans="1:42" x14ac:dyDescent="0.25">
      <c r="A25" s="1" t="s">
        <v>161</v>
      </c>
      <c r="B25" s="1" t="s">
        <v>173</v>
      </c>
      <c r="C25" s="2">
        <v>46026</v>
      </c>
      <c r="D25" s="1">
        <v>39855411</v>
      </c>
      <c r="F25" s="1" t="s">
        <v>44</v>
      </c>
      <c r="G25" s="1">
        <v>77</v>
      </c>
      <c r="H25" s="1" t="s">
        <v>163</v>
      </c>
      <c r="I25" s="1" t="s">
        <v>164</v>
      </c>
      <c r="K25" s="1" t="s">
        <v>165</v>
      </c>
      <c r="L25" s="1" t="str">
        <f t="shared" si="2"/>
        <v xml:space="preserve">200740026238 </v>
      </c>
      <c r="N25" s="1" t="s">
        <v>49</v>
      </c>
      <c r="O25" s="1" t="s">
        <v>50</v>
      </c>
      <c r="P25" s="1" t="s">
        <v>49</v>
      </c>
      <c r="Q25" s="1" t="s">
        <v>50</v>
      </c>
      <c r="R25" s="1" t="s">
        <v>49</v>
      </c>
      <c r="S25" s="1" t="s">
        <v>51</v>
      </c>
      <c r="T25" s="1" t="s">
        <v>52</v>
      </c>
      <c r="U25" s="1" t="s">
        <v>53</v>
      </c>
      <c r="V25" s="1" t="s">
        <v>166</v>
      </c>
      <c r="X25" s="1">
        <v>505.53</v>
      </c>
      <c r="Y25" s="1" t="s">
        <v>167</v>
      </c>
      <c r="Z25" s="1" t="s">
        <v>168</v>
      </c>
      <c r="AA25" s="1" t="s">
        <v>169</v>
      </c>
      <c r="AB25" s="1" t="s">
        <v>174</v>
      </c>
      <c r="AC25" s="1">
        <f>0</f>
        <v>0</v>
      </c>
      <c r="AE25" s="1" t="s">
        <v>49</v>
      </c>
      <c r="AF25" s="1" t="s">
        <v>50</v>
      </c>
      <c r="AG25" s="1" t="str">
        <f t="shared" si="3"/>
        <v xml:space="preserve">7321900000 </v>
      </c>
      <c r="AH25" s="1">
        <v>446</v>
      </c>
      <c r="AI25" s="1">
        <v>400</v>
      </c>
      <c r="AJ25" s="1">
        <v>471.74</v>
      </c>
      <c r="AK25" s="1">
        <v>250777.88</v>
      </c>
      <c r="AL25" s="1">
        <v>496.07</v>
      </c>
      <c r="AM25" s="1">
        <v>20</v>
      </c>
      <c r="AN25" s="1" t="s">
        <v>75</v>
      </c>
      <c r="AO25" s="1">
        <v>20</v>
      </c>
      <c r="AP25" s="1" t="s">
        <v>75</v>
      </c>
    </row>
    <row r="26" spans="1:42" x14ac:dyDescent="0.25">
      <c r="A26" s="1" t="s">
        <v>161</v>
      </c>
      <c r="B26" s="1" t="s">
        <v>175</v>
      </c>
      <c r="C26" s="2">
        <v>46026</v>
      </c>
      <c r="D26" s="1">
        <v>39855411</v>
      </c>
      <c r="F26" s="1" t="s">
        <v>44</v>
      </c>
      <c r="G26" s="1">
        <v>77</v>
      </c>
      <c r="H26" s="1" t="s">
        <v>163</v>
      </c>
      <c r="I26" s="1" t="s">
        <v>164</v>
      </c>
      <c r="K26" s="1" t="s">
        <v>165</v>
      </c>
      <c r="L26" s="1" t="str">
        <f t="shared" si="2"/>
        <v xml:space="preserve">200740026238 </v>
      </c>
      <c r="N26" s="1" t="s">
        <v>49</v>
      </c>
      <c r="O26" s="1" t="s">
        <v>50</v>
      </c>
      <c r="P26" s="1" t="s">
        <v>49</v>
      </c>
      <c r="Q26" s="1" t="s">
        <v>50</v>
      </c>
      <c r="R26" s="1" t="s">
        <v>49</v>
      </c>
      <c r="S26" s="1" t="s">
        <v>51</v>
      </c>
      <c r="T26" s="1" t="s">
        <v>52</v>
      </c>
      <c r="U26" s="1" t="s">
        <v>53</v>
      </c>
      <c r="V26" s="1" t="s">
        <v>166</v>
      </c>
      <c r="X26" s="1">
        <v>505.53</v>
      </c>
      <c r="Y26" s="1" t="s">
        <v>167</v>
      </c>
      <c r="Z26" s="1" t="s">
        <v>168</v>
      </c>
      <c r="AA26" s="1" t="s">
        <v>169</v>
      </c>
      <c r="AB26" s="1" t="s">
        <v>176</v>
      </c>
      <c r="AC26" s="1">
        <f>0</f>
        <v>0</v>
      </c>
      <c r="AE26" s="1" t="s">
        <v>49</v>
      </c>
      <c r="AF26" s="1" t="s">
        <v>50</v>
      </c>
      <c r="AG26" s="1" t="str">
        <f t="shared" si="3"/>
        <v xml:space="preserve">7321900000 </v>
      </c>
      <c r="AH26" s="1">
        <v>587</v>
      </c>
      <c r="AI26" s="1">
        <v>541</v>
      </c>
      <c r="AJ26" s="1">
        <v>637.63</v>
      </c>
      <c r="AK26" s="1">
        <v>338528.55</v>
      </c>
      <c r="AL26" s="1">
        <v>669.65</v>
      </c>
      <c r="AM26" s="1">
        <v>20</v>
      </c>
      <c r="AN26" s="1" t="s">
        <v>75</v>
      </c>
      <c r="AO26" s="1">
        <v>20</v>
      </c>
      <c r="AP26" s="1" t="s">
        <v>75</v>
      </c>
    </row>
    <row r="27" spans="1:42" x14ac:dyDescent="0.25">
      <c r="A27" s="1" t="s">
        <v>161</v>
      </c>
      <c r="B27" s="1" t="s">
        <v>177</v>
      </c>
      <c r="C27" s="2">
        <v>46026</v>
      </c>
      <c r="D27" s="1">
        <v>39855411</v>
      </c>
      <c r="F27" s="1" t="s">
        <v>44</v>
      </c>
      <c r="G27" s="1">
        <v>77</v>
      </c>
      <c r="H27" s="1" t="s">
        <v>163</v>
      </c>
      <c r="I27" s="1" t="s">
        <v>164</v>
      </c>
      <c r="K27" s="1" t="s">
        <v>165</v>
      </c>
      <c r="L27" s="1" t="str">
        <f t="shared" si="2"/>
        <v xml:space="preserve">200740026238 </v>
      </c>
      <c r="N27" s="1" t="s">
        <v>49</v>
      </c>
      <c r="O27" s="1" t="s">
        <v>50</v>
      </c>
      <c r="P27" s="1" t="s">
        <v>49</v>
      </c>
      <c r="Q27" s="1" t="s">
        <v>50</v>
      </c>
      <c r="R27" s="1" t="s">
        <v>49</v>
      </c>
      <c r="S27" s="1" t="s">
        <v>51</v>
      </c>
      <c r="T27" s="1" t="s">
        <v>52</v>
      </c>
      <c r="U27" s="1" t="s">
        <v>53</v>
      </c>
      <c r="V27" s="1" t="s">
        <v>166</v>
      </c>
      <c r="X27" s="1">
        <v>505.53</v>
      </c>
      <c r="Y27" s="1" t="s">
        <v>167</v>
      </c>
      <c r="Z27" s="1" t="s">
        <v>168</v>
      </c>
      <c r="AA27" s="1" t="s">
        <v>178</v>
      </c>
      <c r="AB27" s="1" t="s">
        <v>179</v>
      </c>
      <c r="AC27" s="1">
        <f>0</f>
        <v>0</v>
      </c>
      <c r="AE27" s="1" t="s">
        <v>49</v>
      </c>
      <c r="AF27" s="1" t="s">
        <v>50</v>
      </c>
      <c r="AG27" s="1" t="str">
        <f t="shared" si="3"/>
        <v xml:space="preserve">7321900000 </v>
      </c>
      <c r="AH27" s="1">
        <v>697</v>
      </c>
      <c r="AI27" s="1">
        <v>651</v>
      </c>
      <c r="AJ27" s="1">
        <v>843.2</v>
      </c>
      <c r="AK27" s="1">
        <v>445483.78</v>
      </c>
      <c r="AL27" s="1">
        <v>881.22</v>
      </c>
      <c r="AM27" s="1">
        <v>20</v>
      </c>
      <c r="AN27" s="1" t="s">
        <v>75</v>
      </c>
      <c r="AO27" s="1">
        <v>20</v>
      </c>
      <c r="AP27" s="1" t="s">
        <v>75</v>
      </c>
    </row>
    <row r="28" spans="1:42" x14ac:dyDescent="0.25">
      <c r="A28" s="1" t="s">
        <v>161</v>
      </c>
      <c r="B28" s="1" t="s">
        <v>180</v>
      </c>
      <c r="C28" s="2">
        <v>46026</v>
      </c>
      <c r="D28" s="1">
        <v>39855411</v>
      </c>
      <c r="F28" s="1" t="s">
        <v>44</v>
      </c>
      <c r="G28" s="1">
        <v>77</v>
      </c>
      <c r="H28" s="1" t="s">
        <v>163</v>
      </c>
      <c r="I28" s="1" t="s">
        <v>164</v>
      </c>
      <c r="K28" s="1" t="s">
        <v>165</v>
      </c>
      <c r="L28" s="1" t="str">
        <f t="shared" si="2"/>
        <v xml:space="preserve">200740026238 </v>
      </c>
      <c r="N28" s="1" t="s">
        <v>49</v>
      </c>
      <c r="O28" s="1" t="s">
        <v>50</v>
      </c>
      <c r="P28" s="1" t="s">
        <v>49</v>
      </c>
      <c r="Q28" s="1" t="s">
        <v>50</v>
      </c>
      <c r="R28" s="1" t="s">
        <v>49</v>
      </c>
      <c r="S28" s="1" t="s">
        <v>51</v>
      </c>
      <c r="T28" s="1" t="s">
        <v>52</v>
      </c>
      <c r="U28" s="1" t="s">
        <v>53</v>
      </c>
      <c r="V28" s="1" t="s">
        <v>166</v>
      </c>
      <c r="X28" s="1">
        <v>505.53</v>
      </c>
      <c r="Y28" s="1" t="s">
        <v>167</v>
      </c>
      <c r="Z28" s="1" t="s">
        <v>168</v>
      </c>
      <c r="AA28" s="1" t="s">
        <v>178</v>
      </c>
      <c r="AB28" s="1" t="s">
        <v>181</v>
      </c>
      <c r="AC28" s="1">
        <f>0</f>
        <v>0</v>
      </c>
      <c r="AE28" s="1" t="s">
        <v>49</v>
      </c>
      <c r="AF28" s="1" t="s">
        <v>50</v>
      </c>
      <c r="AG28" s="1" t="str">
        <f t="shared" si="3"/>
        <v xml:space="preserve">7321900000 </v>
      </c>
      <c r="AH28" s="1">
        <v>666</v>
      </c>
      <c r="AI28" s="1">
        <v>620</v>
      </c>
      <c r="AJ28" s="1">
        <v>802.4</v>
      </c>
      <c r="AK28" s="1">
        <v>424003.28</v>
      </c>
      <c r="AL28" s="1">
        <v>838.73</v>
      </c>
      <c r="AM28" s="1">
        <v>20</v>
      </c>
      <c r="AN28" s="1" t="s">
        <v>75</v>
      </c>
      <c r="AO28" s="1">
        <v>20</v>
      </c>
      <c r="AP28" s="1" t="s">
        <v>75</v>
      </c>
    </row>
    <row r="29" spans="1:42" x14ac:dyDescent="0.25">
      <c r="A29" s="1" t="s">
        <v>161</v>
      </c>
      <c r="B29" s="1" t="s">
        <v>182</v>
      </c>
      <c r="C29" s="2">
        <v>46026</v>
      </c>
      <c r="D29" s="1">
        <v>39855411</v>
      </c>
      <c r="F29" s="1" t="s">
        <v>44</v>
      </c>
      <c r="G29" s="1">
        <v>77</v>
      </c>
      <c r="H29" s="1" t="s">
        <v>163</v>
      </c>
      <c r="I29" s="1" t="s">
        <v>164</v>
      </c>
      <c r="K29" s="1" t="s">
        <v>165</v>
      </c>
      <c r="L29" s="1" t="str">
        <f t="shared" si="2"/>
        <v xml:space="preserve">200740026238 </v>
      </c>
      <c r="N29" s="1" t="s">
        <v>49</v>
      </c>
      <c r="O29" s="1" t="s">
        <v>50</v>
      </c>
      <c r="P29" s="1" t="s">
        <v>49</v>
      </c>
      <c r="Q29" s="1" t="s">
        <v>50</v>
      </c>
      <c r="R29" s="1" t="s">
        <v>49</v>
      </c>
      <c r="S29" s="1" t="s">
        <v>51</v>
      </c>
      <c r="T29" s="1" t="s">
        <v>52</v>
      </c>
      <c r="U29" s="1" t="s">
        <v>53</v>
      </c>
      <c r="V29" s="1" t="s">
        <v>166</v>
      </c>
      <c r="X29" s="1">
        <v>505.53</v>
      </c>
      <c r="Y29" s="1" t="s">
        <v>167</v>
      </c>
      <c r="Z29" s="1" t="s">
        <v>168</v>
      </c>
      <c r="AA29" s="1" t="s">
        <v>178</v>
      </c>
      <c r="AB29" s="1" t="s">
        <v>183</v>
      </c>
      <c r="AC29" s="1">
        <f>0</f>
        <v>0</v>
      </c>
      <c r="AE29" s="1" t="s">
        <v>49</v>
      </c>
      <c r="AF29" s="1" t="s">
        <v>50</v>
      </c>
      <c r="AG29" s="1" t="str">
        <f t="shared" si="3"/>
        <v xml:space="preserve">7321900000 </v>
      </c>
      <c r="AH29" s="1">
        <v>769</v>
      </c>
      <c r="AI29" s="1">
        <v>714</v>
      </c>
      <c r="AJ29" s="1">
        <v>924.8</v>
      </c>
      <c r="AK29" s="1">
        <v>488720.54</v>
      </c>
      <c r="AL29" s="1">
        <v>966.75</v>
      </c>
      <c r="AM29" s="1">
        <v>20</v>
      </c>
      <c r="AN29" s="1" t="s">
        <v>75</v>
      </c>
      <c r="AO29" s="1">
        <v>20</v>
      </c>
      <c r="AP29" s="1" t="s">
        <v>75</v>
      </c>
    </row>
    <row r="30" spans="1:42" x14ac:dyDescent="0.25">
      <c r="A30" s="1" t="s">
        <v>161</v>
      </c>
      <c r="B30" s="1" t="s">
        <v>184</v>
      </c>
      <c r="C30" s="2">
        <v>46026</v>
      </c>
      <c r="D30" s="1">
        <v>39855411</v>
      </c>
      <c r="F30" s="1" t="s">
        <v>44</v>
      </c>
      <c r="G30" s="1">
        <v>77</v>
      </c>
      <c r="H30" s="1" t="s">
        <v>163</v>
      </c>
      <c r="I30" s="1" t="s">
        <v>164</v>
      </c>
      <c r="K30" s="1" t="s">
        <v>165</v>
      </c>
      <c r="L30" s="1" t="str">
        <f t="shared" si="2"/>
        <v xml:space="preserve">200740026238 </v>
      </c>
      <c r="N30" s="1" t="s">
        <v>49</v>
      </c>
      <c r="O30" s="1" t="s">
        <v>50</v>
      </c>
      <c r="P30" s="1" t="s">
        <v>49</v>
      </c>
      <c r="Q30" s="1" t="s">
        <v>50</v>
      </c>
      <c r="R30" s="1" t="s">
        <v>49</v>
      </c>
      <c r="S30" s="1" t="s">
        <v>51</v>
      </c>
      <c r="T30" s="1" t="s">
        <v>52</v>
      </c>
      <c r="U30" s="1" t="s">
        <v>53</v>
      </c>
      <c r="V30" s="1" t="s">
        <v>166</v>
      </c>
      <c r="X30" s="1">
        <v>505.53</v>
      </c>
      <c r="Y30" s="1" t="s">
        <v>167</v>
      </c>
      <c r="Z30" s="1" t="s">
        <v>168</v>
      </c>
      <c r="AA30" s="1" t="s">
        <v>185</v>
      </c>
      <c r="AB30" s="1" t="s">
        <v>186</v>
      </c>
      <c r="AC30" s="1">
        <f>0</f>
        <v>0</v>
      </c>
      <c r="AE30" s="1" t="s">
        <v>49</v>
      </c>
      <c r="AF30" s="1" t="s">
        <v>50</v>
      </c>
      <c r="AG30" s="1" t="str">
        <f t="shared" si="3"/>
        <v xml:space="preserve">7321900000 </v>
      </c>
      <c r="AH30" s="1">
        <v>1092</v>
      </c>
      <c r="AI30" s="1">
        <v>1046</v>
      </c>
      <c r="AJ30" s="1">
        <v>1560.04</v>
      </c>
      <c r="AK30" s="1">
        <v>818760.66</v>
      </c>
      <c r="AL30" s="1">
        <v>1619.61</v>
      </c>
      <c r="AM30" s="1">
        <v>20</v>
      </c>
      <c r="AN30" s="1" t="s">
        <v>75</v>
      </c>
      <c r="AO30" s="1">
        <v>20</v>
      </c>
      <c r="AP30" s="1" t="s">
        <v>75</v>
      </c>
    </row>
    <row r="31" spans="1:42" x14ac:dyDescent="0.25">
      <c r="A31" s="1" t="s">
        <v>187</v>
      </c>
      <c r="B31" s="1" t="s">
        <v>188</v>
      </c>
      <c r="C31" s="2">
        <v>46026</v>
      </c>
      <c r="D31" s="1">
        <v>39855302</v>
      </c>
      <c r="E31" s="1" t="s">
        <v>189</v>
      </c>
      <c r="F31" s="1" t="s">
        <v>44</v>
      </c>
      <c r="G31" s="1">
        <v>40</v>
      </c>
      <c r="H31" s="1" t="s">
        <v>190</v>
      </c>
      <c r="I31" s="1" t="s">
        <v>191</v>
      </c>
      <c r="J31" s="1" t="s">
        <v>192</v>
      </c>
      <c r="K31" s="1" t="s">
        <v>193</v>
      </c>
      <c r="L31" s="1" t="str">
        <f t="shared" ref="L31:L51" si="4">"960421350679 "</f>
        <v xml:space="preserve">960421350679 </v>
      </c>
      <c r="N31" s="1" t="s">
        <v>49</v>
      </c>
      <c r="O31" s="1" t="s">
        <v>50</v>
      </c>
      <c r="P31" s="1" t="s">
        <v>49</v>
      </c>
      <c r="Q31" s="1" t="s">
        <v>50</v>
      </c>
      <c r="R31" s="1" t="s">
        <v>49</v>
      </c>
      <c r="S31" s="1" t="s">
        <v>51</v>
      </c>
      <c r="T31" s="1" t="s">
        <v>52</v>
      </c>
      <c r="U31" s="1" t="s">
        <v>69</v>
      </c>
      <c r="V31" s="1" t="s">
        <v>194</v>
      </c>
      <c r="X31" s="1">
        <v>72.33</v>
      </c>
      <c r="Y31" s="1" t="s">
        <v>195</v>
      </c>
      <c r="Z31" s="1" t="s">
        <v>196</v>
      </c>
      <c r="AA31" s="1" t="s">
        <v>197</v>
      </c>
      <c r="AB31" s="1" t="s">
        <v>198</v>
      </c>
      <c r="AC31" s="1">
        <f>0</f>
        <v>0</v>
      </c>
      <c r="AE31" s="1" t="s">
        <v>49</v>
      </c>
      <c r="AF31" s="1" t="s">
        <v>50</v>
      </c>
      <c r="AG31" s="1" t="str">
        <f>"8708709109 "</f>
        <v xml:space="preserve">8708709109 </v>
      </c>
      <c r="AH31" s="1">
        <v>1210</v>
      </c>
      <c r="AI31" s="1">
        <v>919.2</v>
      </c>
      <c r="AJ31" s="1">
        <v>13970.25</v>
      </c>
      <c r="AK31" s="1">
        <v>1038578.81</v>
      </c>
      <c r="AL31" s="1">
        <v>2054.44</v>
      </c>
      <c r="AM31" s="1">
        <v>31</v>
      </c>
      <c r="AN31" s="1" t="s">
        <v>60</v>
      </c>
      <c r="AO31" s="1">
        <v>31</v>
      </c>
      <c r="AP31" s="1" t="s">
        <v>60</v>
      </c>
    </row>
    <row r="32" spans="1:42" x14ac:dyDescent="0.25">
      <c r="A32" s="1" t="s">
        <v>187</v>
      </c>
      <c r="B32" s="1" t="s">
        <v>199</v>
      </c>
      <c r="C32" s="2">
        <v>46026</v>
      </c>
      <c r="D32" s="1">
        <v>39855302</v>
      </c>
      <c r="E32" s="1" t="s">
        <v>189</v>
      </c>
      <c r="F32" s="1" t="s">
        <v>44</v>
      </c>
      <c r="G32" s="1">
        <v>40</v>
      </c>
      <c r="H32" s="1" t="s">
        <v>190</v>
      </c>
      <c r="I32" s="1" t="s">
        <v>191</v>
      </c>
      <c r="J32" s="1" t="s">
        <v>192</v>
      </c>
      <c r="K32" s="1" t="s">
        <v>193</v>
      </c>
      <c r="L32" s="1" t="str">
        <f t="shared" si="4"/>
        <v xml:space="preserve">960421350679 </v>
      </c>
      <c r="N32" s="1" t="s">
        <v>49</v>
      </c>
      <c r="O32" s="1" t="s">
        <v>50</v>
      </c>
      <c r="P32" s="1" t="s">
        <v>49</v>
      </c>
      <c r="Q32" s="1" t="s">
        <v>50</v>
      </c>
      <c r="R32" s="1" t="s">
        <v>49</v>
      </c>
      <c r="S32" s="1" t="s">
        <v>51</v>
      </c>
      <c r="T32" s="1" t="s">
        <v>52</v>
      </c>
      <c r="U32" s="1" t="s">
        <v>69</v>
      </c>
      <c r="V32" s="1" t="s">
        <v>194</v>
      </c>
      <c r="X32" s="1">
        <v>72.33</v>
      </c>
      <c r="Y32" s="1" t="s">
        <v>195</v>
      </c>
      <c r="Z32" s="1" t="s">
        <v>196</v>
      </c>
      <c r="AA32" s="1" t="s">
        <v>200</v>
      </c>
      <c r="AB32" s="1" t="s">
        <v>201</v>
      </c>
      <c r="AC32" s="1">
        <f>0</f>
        <v>0</v>
      </c>
      <c r="AE32" s="1" t="s">
        <v>49</v>
      </c>
      <c r="AF32" s="1" t="s">
        <v>50</v>
      </c>
      <c r="AG32" s="1" t="str">
        <f>"8708803509 "</f>
        <v xml:space="preserve">8708803509 </v>
      </c>
      <c r="AH32" s="1">
        <v>450</v>
      </c>
      <c r="AI32" s="1">
        <v>421.04</v>
      </c>
      <c r="AJ32" s="1">
        <v>11269</v>
      </c>
      <c r="AK32" s="1">
        <v>825541.14</v>
      </c>
      <c r="AL32" s="1">
        <v>1633.02</v>
      </c>
      <c r="AM32" s="1">
        <v>31</v>
      </c>
      <c r="AN32" s="1" t="s">
        <v>60</v>
      </c>
      <c r="AO32" s="1">
        <v>31</v>
      </c>
      <c r="AP32" s="1" t="s">
        <v>60</v>
      </c>
    </row>
    <row r="33" spans="1:42" x14ac:dyDescent="0.25">
      <c r="A33" s="1" t="s">
        <v>187</v>
      </c>
      <c r="B33" s="1" t="s">
        <v>202</v>
      </c>
      <c r="C33" s="2">
        <v>46026</v>
      </c>
      <c r="D33" s="1">
        <v>39855302</v>
      </c>
      <c r="E33" s="1" t="s">
        <v>189</v>
      </c>
      <c r="F33" s="1" t="s">
        <v>44</v>
      </c>
      <c r="G33" s="1">
        <v>40</v>
      </c>
      <c r="H33" s="1" t="s">
        <v>190</v>
      </c>
      <c r="I33" s="1" t="s">
        <v>191</v>
      </c>
      <c r="J33" s="1" t="s">
        <v>192</v>
      </c>
      <c r="K33" s="1" t="s">
        <v>193</v>
      </c>
      <c r="L33" s="1" t="str">
        <f t="shared" si="4"/>
        <v xml:space="preserve">960421350679 </v>
      </c>
      <c r="N33" s="1" t="s">
        <v>49</v>
      </c>
      <c r="O33" s="1" t="s">
        <v>50</v>
      </c>
      <c r="P33" s="1" t="s">
        <v>49</v>
      </c>
      <c r="Q33" s="1" t="s">
        <v>50</v>
      </c>
      <c r="R33" s="1" t="s">
        <v>49</v>
      </c>
      <c r="S33" s="1" t="s">
        <v>51</v>
      </c>
      <c r="T33" s="1" t="s">
        <v>52</v>
      </c>
      <c r="U33" s="1" t="s">
        <v>69</v>
      </c>
      <c r="V33" s="1" t="s">
        <v>194</v>
      </c>
      <c r="X33" s="1">
        <v>72.33</v>
      </c>
      <c r="Y33" s="1" t="s">
        <v>195</v>
      </c>
      <c r="Z33" s="1" t="s">
        <v>196</v>
      </c>
      <c r="AA33" s="1" t="s">
        <v>203</v>
      </c>
      <c r="AB33" s="1" t="s">
        <v>204</v>
      </c>
      <c r="AC33" s="1">
        <v>19</v>
      </c>
      <c r="AD33" s="1" t="s">
        <v>120</v>
      </c>
      <c r="AE33" s="1" t="s">
        <v>49</v>
      </c>
      <c r="AF33" s="1" t="s">
        <v>50</v>
      </c>
      <c r="AG33" s="1" t="str">
        <f>"9401200009 "</f>
        <v xml:space="preserve">9401200009 </v>
      </c>
      <c r="AH33" s="1">
        <v>570</v>
      </c>
      <c r="AI33" s="1">
        <v>518.70000000000005</v>
      </c>
      <c r="AJ33" s="1">
        <v>16382.94</v>
      </c>
      <c r="AK33" s="1">
        <v>1198220.25</v>
      </c>
      <c r="AL33" s="1">
        <v>2370.23</v>
      </c>
      <c r="AM33" s="1">
        <v>31</v>
      </c>
      <c r="AN33" s="1" t="s">
        <v>60</v>
      </c>
      <c r="AO33" s="1">
        <v>31</v>
      </c>
      <c r="AP33" s="1" t="s">
        <v>60</v>
      </c>
    </row>
    <row r="34" spans="1:42" x14ac:dyDescent="0.25">
      <c r="A34" s="1" t="s">
        <v>187</v>
      </c>
      <c r="B34" s="1" t="s">
        <v>205</v>
      </c>
      <c r="C34" s="2">
        <v>46026</v>
      </c>
      <c r="D34" s="1">
        <v>39855302</v>
      </c>
      <c r="E34" s="1" t="s">
        <v>189</v>
      </c>
      <c r="F34" s="1" t="s">
        <v>44</v>
      </c>
      <c r="G34" s="1">
        <v>40</v>
      </c>
      <c r="H34" s="1" t="s">
        <v>190</v>
      </c>
      <c r="I34" s="1" t="s">
        <v>191</v>
      </c>
      <c r="J34" s="1" t="s">
        <v>192</v>
      </c>
      <c r="K34" s="1" t="s">
        <v>193</v>
      </c>
      <c r="L34" s="1" t="str">
        <f t="shared" si="4"/>
        <v xml:space="preserve">960421350679 </v>
      </c>
      <c r="N34" s="1" t="s">
        <v>49</v>
      </c>
      <c r="O34" s="1" t="s">
        <v>50</v>
      </c>
      <c r="P34" s="1" t="s">
        <v>49</v>
      </c>
      <c r="Q34" s="1" t="s">
        <v>50</v>
      </c>
      <c r="R34" s="1" t="s">
        <v>49</v>
      </c>
      <c r="S34" s="1" t="s">
        <v>51</v>
      </c>
      <c r="T34" s="1" t="s">
        <v>52</v>
      </c>
      <c r="U34" s="1" t="s">
        <v>69</v>
      </c>
      <c r="V34" s="1" t="s">
        <v>194</v>
      </c>
      <c r="X34" s="1">
        <v>72.33</v>
      </c>
      <c r="Y34" s="1" t="s">
        <v>195</v>
      </c>
      <c r="Z34" s="1" t="s">
        <v>196</v>
      </c>
      <c r="AA34" s="1" t="s">
        <v>206</v>
      </c>
      <c r="AB34" s="1" t="s">
        <v>207</v>
      </c>
      <c r="AC34" s="1">
        <f>0</f>
        <v>0</v>
      </c>
      <c r="AE34" s="1" t="s">
        <v>49</v>
      </c>
      <c r="AF34" s="1" t="s">
        <v>50</v>
      </c>
      <c r="AG34" s="1" t="str">
        <f>"8708709909 "</f>
        <v xml:space="preserve">8708709909 </v>
      </c>
      <c r="AH34" s="1">
        <v>1600</v>
      </c>
      <c r="AI34" s="1">
        <v>1360</v>
      </c>
      <c r="AJ34" s="1">
        <v>14264</v>
      </c>
      <c r="AK34" s="1">
        <v>1068886.2</v>
      </c>
      <c r="AL34" s="1">
        <v>2114.39</v>
      </c>
      <c r="AM34" s="1">
        <v>31</v>
      </c>
      <c r="AN34" s="1" t="s">
        <v>60</v>
      </c>
      <c r="AO34" s="1">
        <v>31</v>
      </c>
      <c r="AP34" s="1" t="s">
        <v>60</v>
      </c>
    </row>
    <row r="35" spans="1:42" x14ac:dyDescent="0.25">
      <c r="A35" s="1" t="s">
        <v>187</v>
      </c>
      <c r="B35" s="1" t="s">
        <v>208</v>
      </c>
      <c r="C35" s="2">
        <v>46026</v>
      </c>
      <c r="D35" s="1">
        <v>39855302</v>
      </c>
      <c r="E35" s="1" t="s">
        <v>189</v>
      </c>
      <c r="F35" s="1" t="s">
        <v>44</v>
      </c>
      <c r="G35" s="1">
        <v>40</v>
      </c>
      <c r="H35" s="1" t="s">
        <v>190</v>
      </c>
      <c r="I35" s="1" t="s">
        <v>191</v>
      </c>
      <c r="J35" s="1" t="s">
        <v>192</v>
      </c>
      <c r="K35" s="1" t="s">
        <v>193</v>
      </c>
      <c r="L35" s="1" t="str">
        <f t="shared" si="4"/>
        <v xml:space="preserve">960421350679 </v>
      </c>
      <c r="N35" s="1" t="s">
        <v>49</v>
      </c>
      <c r="O35" s="1" t="s">
        <v>50</v>
      </c>
      <c r="P35" s="1" t="s">
        <v>49</v>
      </c>
      <c r="Q35" s="1" t="s">
        <v>50</v>
      </c>
      <c r="R35" s="1" t="s">
        <v>49</v>
      </c>
      <c r="S35" s="1" t="s">
        <v>51</v>
      </c>
      <c r="T35" s="1" t="s">
        <v>52</v>
      </c>
      <c r="U35" s="1" t="s">
        <v>69</v>
      </c>
      <c r="V35" s="1" t="s">
        <v>194</v>
      </c>
      <c r="X35" s="1">
        <v>72.33</v>
      </c>
      <c r="Y35" s="1" t="s">
        <v>195</v>
      </c>
      <c r="Z35" s="1" t="s">
        <v>196</v>
      </c>
      <c r="AA35" s="1" t="s">
        <v>209</v>
      </c>
      <c r="AB35" s="1" t="s">
        <v>210</v>
      </c>
      <c r="AC35" s="1">
        <f>0</f>
        <v>0</v>
      </c>
      <c r="AE35" s="1" t="s">
        <v>49</v>
      </c>
      <c r="AF35" s="1" t="s">
        <v>50</v>
      </c>
      <c r="AG35" s="1" t="str">
        <f>"8708939009 "</f>
        <v xml:space="preserve">8708939009 </v>
      </c>
      <c r="AH35" s="1">
        <v>1380</v>
      </c>
      <c r="AI35" s="1">
        <v>1249.6099999999999</v>
      </c>
      <c r="AJ35" s="1">
        <v>37700</v>
      </c>
      <c r="AK35" s="1">
        <v>2758901.05</v>
      </c>
      <c r="AL35" s="1">
        <v>5457.44</v>
      </c>
      <c r="AM35" s="1">
        <v>31</v>
      </c>
      <c r="AN35" s="1" t="s">
        <v>60</v>
      </c>
      <c r="AO35" s="1">
        <v>31</v>
      </c>
      <c r="AP35" s="1" t="s">
        <v>60</v>
      </c>
    </row>
    <row r="36" spans="1:42" x14ac:dyDescent="0.25">
      <c r="A36" s="1" t="s">
        <v>187</v>
      </c>
      <c r="B36" s="1" t="s">
        <v>211</v>
      </c>
      <c r="C36" s="2">
        <v>46026</v>
      </c>
      <c r="D36" s="1">
        <v>39855302</v>
      </c>
      <c r="E36" s="1" t="s">
        <v>189</v>
      </c>
      <c r="F36" s="1" t="s">
        <v>44</v>
      </c>
      <c r="G36" s="1">
        <v>40</v>
      </c>
      <c r="H36" s="1" t="s">
        <v>190</v>
      </c>
      <c r="I36" s="1" t="s">
        <v>191</v>
      </c>
      <c r="J36" s="1" t="s">
        <v>192</v>
      </c>
      <c r="K36" s="1" t="s">
        <v>193</v>
      </c>
      <c r="L36" s="1" t="str">
        <f t="shared" si="4"/>
        <v xml:space="preserve">960421350679 </v>
      </c>
      <c r="N36" s="1" t="s">
        <v>49</v>
      </c>
      <c r="O36" s="1" t="s">
        <v>50</v>
      </c>
      <c r="P36" s="1" t="s">
        <v>49</v>
      </c>
      <c r="Q36" s="1" t="s">
        <v>50</v>
      </c>
      <c r="R36" s="1" t="s">
        <v>49</v>
      </c>
      <c r="S36" s="1" t="s">
        <v>51</v>
      </c>
      <c r="T36" s="1" t="s">
        <v>52</v>
      </c>
      <c r="U36" s="1" t="s">
        <v>69</v>
      </c>
      <c r="V36" s="1" t="s">
        <v>194</v>
      </c>
      <c r="X36" s="1">
        <v>72.33</v>
      </c>
      <c r="Y36" s="1" t="s">
        <v>195</v>
      </c>
      <c r="Z36" s="1" t="s">
        <v>196</v>
      </c>
      <c r="AA36" s="1" t="s">
        <v>212</v>
      </c>
      <c r="AB36" s="1" t="s">
        <v>213</v>
      </c>
      <c r="AC36" s="1">
        <f>0</f>
        <v>0</v>
      </c>
      <c r="AE36" s="1" t="s">
        <v>49</v>
      </c>
      <c r="AF36" s="1" t="s">
        <v>50</v>
      </c>
      <c r="AG36" s="1" t="str">
        <f>"8708405009 "</f>
        <v xml:space="preserve">8708405009 </v>
      </c>
      <c r="AH36" s="1">
        <v>1050</v>
      </c>
      <c r="AI36" s="1">
        <v>800</v>
      </c>
      <c r="AJ36" s="1">
        <v>40390.160000000003</v>
      </c>
      <c r="AK36" s="1">
        <v>2945813.79</v>
      </c>
      <c r="AL36" s="1">
        <v>5827.18</v>
      </c>
      <c r="AM36" s="1">
        <v>31</v>
      </c>
      <c r="AN36" s="1" t="s">
        <v>60</v>
      </c>
      <c r="AO36" s="1">
        <v>31</v>
      </c>
      <c r="AP36" s="1" t="s">
        <v>60</v>
      </c>
    </row>
    <row r="37" spans="1:42" x14ac:dyDescent="0.25">
      <c r="A37" s="1" t="s">
        <v>187</v>
      </c>
      <c r="B37" s="1" t="s">
        <v>214</v>
      </c>
      <c r="C37" s="2">
        <v>46026</v>
      </c>
      <c r="D37" s="1">
        <v>39855302</v>
      </c>
      <c r="E37" s="1" t="s">
        <v>189</v>
      </c>
      <c r="F37" s="1" t="s">
        <v>44</v>
      </c>
      <c r="G37" s="1">
        <v>40</v>
      </c>
      <c r="H37" s="1" t="s">
        <v>190</v>
      </c>
      <c r="I37" s="1" t="s">
        <v>191</v>
      </c>
      <c r="J37" s="1" t="s">
        <v>192</v>
      </c>
      <c r="K37" s="1" t="s">
        <v>193</v>
      </c>
      <c r="L37" s="1" t="str">
        <f t="shared" si="4"/>
        <v xml:space="preserve">960421350679 </v>
      </c>
      <c r="N37" s="1" t="s">
        <v>49</v>
      </c>
      <c r="O37" s="1" t="s">
        <v>50</v>
      </c>
      <c r="P37" s="1" t="s">
        <v>49</v>
      </c>
      <c r="Q37" s="1" t="s">
        <v>50</v>
      </c>
      <c r="R37" s="1" t="s">
        <v>49</v>
      </c>
      <c r="S37" s="1" t="s">
        <v>51</v>
      </c>
      <c r="T37" s="1" t="s">
        <v>52</v>
      </c>
      <c r="U37" s="1" t="s">
        <v>69</v>
      </c>
      <c r="V37" s="1" t="s">
        <v>194</v>
      </c>
      <c r="X37" s="1">
        <v>72.33</v>
      </c>
      <c r="Y37" s="1" t="s">
        <v>195</v>
      </c>
      <c r="Z37" s="1" t="s">
        <v>196</v>
      </c>
      <c r="AA37" s="1" t="s">
        <v>215</v>
      </c>
      <c r="AB37" s="1" t="s">
        <v>216</v>
      </c>
      <c r="AC37" s="1">
        <f>0</f>
        <v>0</v>
      </c>
      <c r="AE37" s="1" t="s">
        <v>49</v>
      </c>
      <c r="AF37" s="1" t="s">
        <v>50</v>
      </c>
      <c r="AG37" s="1" t="str">
        <f>"7326909409 "</f>
        <v xml:space="preserve">7326909409 </v>
      </c>
      <c r="AH37" s="1">
        <v>850</v>
      </c>
      <c r="AI37" s="1">
        <v>746.3</v>
      </c>
      <c r="AJ37" s="1">
        <v>16088.8</v>
      </c>
      <c r="AK37" s="1">
        <v>1183450.03</v>
      </c>
      <c r="AL37" s="1">
        <v>2341.0100000000002</v>
      </c>
      <c r="AM37" s="1">
        <v>31</v>
      </c>
      <c r="AN37" s="1" t="s">
        <v>60</v>
      </c>
      <c r="AO37" s="1">
        <v>31</v>
      </c>
      <c r="AP37" s="1" t="s">
        <v>60</v>
      </c>
    </row>
    <row r="38" spans="1:42" x14ac:dyDescent="0.25">
      <c r="A38" s="1" t="s">
        <v>187</v>
      </c>
      <c r="B38" s="1" t="s">
        <v>217</v>
      </c>
      <c r="C38" s="2">
        <v>46026</v>
      </c>
      <c r="D38" s="1">
        <v>39855302</v>
      </c>
      <c r="E38" s="1" t="s">
        <v>189</v>
      </c>
      <c r="F38" s="1" t="s">
        <v>44</v>
      </c>
      <c r="G38" s="1">
        <v>40</v>
      </c>
      <c r="H38" s="1" t="s">
        <v>190</v>
      </c>
      <c r="I38" s="1" t="s">
        <v>191</v>
      </c>
      <c r="J38" s="1" t="s">
        <v>192</v>
      </c>
      <c r="K38" s="1" t="s">
        <v>193</v>
      </c>
      <c r="L38" s="1" t="str">
        <f t="shared" si="4"/>
        <v xml:space="preserve">960421350679 </v>
      </c>
      <c r="N38" s="1" t="s">
        <v>49</v>
      </c>
      <c r="O38" s="1" t="s">
        <v>50</v>
      </c>
      <c r="P38" s="1" t="s">
        <v>49</v>
      </c>
      <c r="Q38" s="1" t="s">
        <v>50</v>
      </c>
      <c r="R38" s="1" t="s">
        <v>49</v>
      </c>
      <c r="S38" s="1" t="s">
        <v>51</v>
      </c>
      <c r="T38" s="1" t="s">
        <v>52</v>
      </c>
      <c r="U38" s="1" t="s">
        <v>69</v>
      </c>
      <c r="V38" s="1" t="s">
        <v>194</v>
      </c>
      <c r="X38" s="1">
        <v>72.33</v>
      </c>
      <c r="Y38" s="1" t="s">
        <v>195</v>
      </c>
      <c r="Z38" s="1" t="s">
        <v>196</v>
      </c>
      <c r="AA38" s="1" t="s">
        <v>218</v>
      </c>
      <c r="AB38" s="1" t="s">
        <v>219</v>
      </c>
      <c r="AC38" s="1">
        <v>10</v>
      </c>
      <c r="AD38" s="1" t="s">
        <v>120</v>
      </c>
      <c r="AE38" s="1" t="s">
        <v>49</v>
      </c>
      <c r="AF38" s="1" t="s">
        <v>50</v>
      </c>
      <c r="AG38" s="1" t="str">
        <f>"8483109500 "</f>
        <v xml:space="preserve">8483109500 </v>
      </c>
      <c r="AH38" s="1">
        <v>585</v>
      </c>
      <c r="AI38" s="1">
        <v>496.6</v>
      </c>
      <c r="AJ38" s="1">
        <v>15688.5</v>
      </c>
      <c r="AK38" s="1">
        <v>1148339.8700000001</v>
      </c>
      <c r="AL38" s="1">
        <v>2271.56</v>
      </c>
      <c r="AM38" s="1">
        <v>31</v>
      </c>
      <c r="AN38" s="1" t="s">
        <v>60</v>
      </c>
      <c r="AO38" s="1">
        <v>31</v>
      </c>
      <c r="AP38" s="1" t="s">
        <v>60</v>
      </c>
    </row>
    <row r="39" spans="1:42" x14ac:dyDescent="0.25">
      <c r="A39" s="1" t="s">
        <v>187</v>
      </c>
      <c r="B39" s="1" t="s">
        <v>220</v>
      </c>
      <c r="C39" s="2">
        <v>46026</v>
      </c>
      <c r="D39" s="1">
        <v>39855302</v>
      </c>
      <c r="E39" s="1" t="s">
        <v>189</v>
      </c>
      <c r="F39" s="1" t="s">
        <v>44</v>
      </c>
      <c r="G39" s="1">
        <v>40</v>
      </c>
      <c r="H39" s="1" t="s">
        <v>190</v>
      </c>
      <c r="I39" s="1" t="s">
        <v>191</v>
      </c>
      <c r="J39" s="1" t="s">
        <v>192</v>
      </c>
      <c r="K39" s="1" t="s">
        <v>193</v>
      </c>
      <c r="L39" s="1" t="str">
        <f t="shared" si="4"/>
        <v xml:space="preserve">960421350679 </v>
      </c>
      <c r="N39" s="1" t="s">
        <v>49</v>
      </c>
      <c r="O39" s="1" t="s">
        <v>50</v>
      </c>
      <c r="P39" s="1" t="s">
        <v>49</v>
      </c>
      <c r="Q39" s="1" t="s">
        <v>50</v>
      </c>
      <c r="R39" s="1" t="s">
        <v>49</v>
      </c>
      <c r="S39" s="1" t="s">
        <v>51</v>
      </c>
      <c r="T39" s="1" t="s">
        <v>52</v>
      </c>
      <c r="U39" s="1" t="s">
        <v>69</v>
      </c>
      <c r="V39" s="1" t="s">
        <v>194</v>
      </c>
      <c r="X39" s="1">
        <v>72.33</v>
      </c>
      <c r="Y39" s="1" t="s">
        <v>195</v>
      </c>
      <c r="Z39" s="1" t="s">
        <v>196</v>
      </c>
      <c r="AA39" s="1" t="s">
        <v>218</v>
      </c>
      <c r="AB39" s="1" t="s">
        <v>221</v>
      </c>
      <c r="AC39" s="1">
        <v>5</v>
      </c>
      <c r="AD39" s="1" t="s">
        <v>120</v>
      </c>
      <c r="AE39" s="1" t="s">
        <v>49</v>
      </c>
      <c r="AF39" s="1" t="s">
        <v>50</v>
      </c>
      <c r="AG39" s="1" t="str">
        <f>"8483109500 "</f>
        <v xml:space="preserve">8483109500 </v>
      </c>
      <c r="AH39" s="1">
        <v>522</v>
      </c>
      <c r="AI39" s="1">
        <v>447</v>
      </c>
      <c r="AJ39" s="1">
        <v>12997.3</v>
      </c>
      <c r="AK39" s="1">
        <v>952221.77</v>
      </c>
      <c r="AL39" s="1">
        <v>1883.61</v>
      </c>
      <c r="AM39" s="1">
        <v>31</v>
      </c>
      <c r="AN39" s="1" t="s">
        <v>60</v>
      </c>
      <c r="AO39" s="1">
        <v>31</v>
      </c>
      <c r="AP39" s="1" t="s">
        <v>60</v>
      </c>
    </row>
    <row r="40" spans="1:42" x14ac:dyDescent="0.25">
      <c r="A40" s="1" t="s">
        <v>187</v>
      </c>
      <c r="B40" s="1" t="s">
        <v>222</v>
      </c>
      <c r="C40" s="2">
        <v>46026</v>
      </c>
      <c r="D40" s="1">
        <v>39855302</v>
      </c>
      <c r="E40" s="1" t="s">
        <v>189</v>
      </c>
      <c r="F40" s="1" t="s">
        <v>44</v>
      </c>
      <c r="G40" s="1">
        <v>40</v>
      </c>
      <c r="H40" s="1" t="s">
        <v>190</v>
      </c>
      <c r="I40" s="1" t="s">
        <v>191</v>
      </c>
      <c r="J40" s="1" t="s">
        <v>192</v>
      </c>
      <c r="K40" s="1" t="s">
        <v>193</v>
      </c>
      <c r="L40" s="1" t="str">
        <f t="shared" si="4"/>
        <v xml:space="preserve">960421350679 </v>
      </c>
      <c r="N40" s="1" t="s">
        <v>49</v>
      </c>
      <c r="O40" s="1" t="s">
        <v>50</v>
      </c>
      <c r="P40" s="1" t="s">
        <v>49</v>
      </c>
      <c r="Q40" s="1" t="s">
        <v>50</v>
      </c>
      <c r="R40" s="1" t="s">
        <v>49</v>
      </c>
      <c r="S40" s="1" t="s">
        <v>51</v>
      </c>
      <c r="T40" s="1" t="s">
        <v>52</v>
      </c>
      <c r="U40" s="1" t="s">
        <v>69</v>
      </c>
      <c r="V40" s="1" t="s">
        <v>194</v>
      </c>
      <c r="X40" s="1">
        <v>72.33</v>
      </c>
      <c r="Y40" s="1" t="s">
        <v>195</v>
      </c>
      <c r="Z40" s="1" t="s">
        <v>196</v>
      </c>
      <c r="AA40" s="1" t="s">
        <v>223</v>
      </c>
      <c r="AB40" s="1" t="s">
        <v>224</v>
      </c>
      <c r="AC40" s="1">
        <v>90</v>
      </c>
      <c r="AD40" s="1" t="s">
        <v>120</v>
      </c>
      <c r="AE40" s="1" t="s">
        <v>49</v>
      </c>
      <c r="AF40" s="1" t="s">
        <v>50</v>
      </c>
      <c r="AG40" s="1" t="str">
        <f>"8482200009 "</f>
        <v xml:space="preserve">8482200009 </v>
      </c>
      <c r="AH40" s="1">
        <v>612</v>
      </c>
      <c r="AI40" s="1">
        <v>542.70000000000005</v>
      </c>
      <c r="AJ40" s="1">
        <v>19358.099999999999</v>
      </c>
      <c r="AK40" s="1">
        <v>1414389.31</v>
      </c>
      <c r="AL40" s="1">
        <v>2797.83</v>
      </c>
      <c r="AM40" s="1">
        <v>31</v>
      </c>
      <c r="AN40" s="1" t="s">
        <v>60</v>
      </c>
      <c r="AO40" s="1">
        <v>31</v>
      </c>
      <c r="AP40" s="1" t="s">
        <v>60</v>
      </c>
    </row>
    <row r="41" spans="1:42" x14ac:dyDescent="0.25">
      <c r="A41" s="1" t="s">
        <v>187</v>
      </c>
      <c r="B41" s="1" t="s">
        <v>225</v>
      </c>
      <c r="C41" s="2">
        <v>46026</v>
      </c>
      <c r="D41" s="1">
        <v>39855302</v>
      </c>
      <c r="E41" s="1" t="s">
        <v>189</v>
      </c>
      <c r="F41" s="1" t="s">
        <v>44</v>
      </c>
      <c r="G41" s="1">
        <v>40</v>
      </c>
      <c r="H41" s="1" t="s">
        <v>190</v>
      </c>
      <c r="I41" s="1" t="s">
        <v>191</v>
      </c>
      <c r="J41" s="1" t="s">
        <v>192</v>
      </c>
      <c r="K41" s="1" t="s">
        <v>193</v>
      </c>
      <c r="L41" s="1" t="str">
        <f t="shared" si="4"/>
        <v xml:space="preserve">960421350679 </v>
      </c>
      <c r="N41" s="1" t="s">
        <v>49</v>
      </c>
      <c r="O41" s="1" t="s">
        <v>50</v>
      </c>
      <c r="P41" s="1" t="s">
        <v>49</v>
      </c>
      <c r="Q41" s="1" t="s">
        <v>50</v>
      </c>
      <c r="R41" s="1" t="s">
        <v>49</v>
      </c>
      <c r="S41" s="1" t="s">
        <v>51</v>
      </c>
      <c r="T41" s="1" t="s">
        <v>52</v>
      </c>
      <c r="U41" s="1" t="s">
        <v>69</v>
      </c>
      <c r="V41" s="1" t="s">
        <v>194</v>
      </c>
      <c r="X41" s="1">
        <v>72.33</v>
      </c>
      <c r="Y41" s="1" t="s">
        <v>195</v>
      </c>
      <c r="Z41" s="1" t="s">
        <v>196</v>
      </c>
      <c r="AA41" s="1" t="s">
        <v>226</v>
      </c>
      <c r="AB41" s="1" t="s">
        <v>227</v>
      </c>
      <c r="AC41" s="1">
        <v>43</v>
      </c>
      <c r="AD41" s="1" t="s">
        <v>120</v>
      </c>
      <c r="AE41" s="1" t="s">
        <v>49</v>
      </c>
      <c r="AF41" s="1" t="s">
        <v>50</v>
      </c>
      <c r="AG41" s="1" t="str">
        <f>"8482200009 "</f>
        <v xml:space="preserve">8482200009 </v>
      </c>
      <c r="AH41" s="1">
        <v>552</v>
      </c>
      <c r="AI41" s="1">
        <v>483.75</v>
      </c>
      <c r="AJ41" s="1">
        <v>11423.38</v>
      </c>
      <c r="AK41" s="1">
        <v>839077.1</v>
      </c>
      <c r="AL41" s="1">
        <v>1659.8</v>
      </c>
      <c r="AM41" s="1">
        <v>31</v>
      </c>
      <c r="AN41" s="1" t="s">
        <v>60</v>
      </c>
      <c r="AO41" s="1">
        <v>31</v>
      </c>
      <c r="AP41" s="1" t="s">
        <v>60</v>
      </c>
    </row>
    <row r="42" spans="1:42" x14ac:dyDescent="0.25">
      <c r="A42" s="1" t="s">
        <v>187</v>
      </c>
      <c r="B42" s="1" t="s">
        <v>228</v>
      </c>
      <c r="C42" s="2">
        <v>46026</v>
      </c>
      <c r="D42" s="1">
        <v>39855302</v>
      </c>
      <c r="E42" s="1" t="s">
        <v>189</v>
      </c>
      <c r="F42" s="1" t="s">
        <v>44</v>
      </c>
      <c r="G42" s="1">
        <v>40</v>
      </c>
      <c r="H42" s="1" t="s">
        <v>190</v>
      </c>
      <c r="I42" s="1" t="s">
        <v>191</v>
      </c>
      <c r="J42" s="1" t="s">
        <v>192</v>
      </c>
      <c r="K42" s="1" t="s">
        <v>193</v>
      </c>
      <c r="L42" s="1" t="str">
        <f t="shared" si="4"/>
        <v xml:space="preserve">960421350679 </v>
      </c>
      <c r="N42" s="1" t="s">
        <v>49</v>
      </c>
      <c r="O42" s="1" t="s">
        <v>50</v>
      </c>
      <c r="P42" s="1" t="s">
        <v>49</v>
      </c>
      <c r="Q42" s="1" t="s">
        <v>50</v>
      </c>
      <c r="R42" s="1" t="s">
        <v>49</v>
      </c>
      <c r="S42" s="1" t="s">
        <v>51</v>
      </c>
      <c r="T42" s="1" t="s">
        <v>52</v>
      </c>
      <c r="U42" s="1" t="s">
        <v>69</v>
      </c>
      <c r="V42" s="1" t="s">
        <v>194</v>
      </c>
      <c r="X42" s="1">
        <v>72.33</v>
      </c>
      <c r="Y42" s="1" t="s">
        <v>195</v>
      </c>
      <c r="Z42" s="1" t="s">
        <v>196</v>
      </c>
      <c r="AA42" s="1" t="s">
        <v>229</v>
      </c>
      <c r="AB42" s="1" t="s">
        <v>230</v>
      </c>
      <c r="AC42" s="1">
        <v>60</v>
      </c>
      <c r="AD42" s="1" t="s">
        <v>120</v>
      </c>
      <c r="AE42" s="1" t="s">
        <v>49</v>
      </c>
      <c r="AF42" s="1" t="s">
        <v>50</v>
      </c>
      <c r="AG42" s="1" t="str">
        <f>"8482200009 "</f>
        <v xml:space="preserve">8482200009 </v>
      </c>
      <c r="AH42" s="1">
        <v>970</v>
      </c>
      <c r="AI42" s="1">
        <v>852</v>
      </c>
      <c r="AJ42" s="1">
        <v>24873.599999999999</v>
      </c>
      <c r="AK42" s="1">
        <v>1821642.45</v>
      </c>
      <c r="AL42" s="1">
        <v>3603.43</v>
      </c>
      <c r="AM42" s="1">
        <v>31</v>
      </c>
      <c r="AN42" s="1" t="s">
        <v>60</v>
      </c>
      <c r="AO42" s="1">
        <v>31</v>
      </c>
      <c r="AP42" s="1" t="s">
        <v>60</v>
      </c>
    </row>
    <row r="43" spans="1:42" x14ac:dyDescent="0.25">
      <c r="A43" s="1" t="s">
        <v>187</v>
      </c>
      <c r="B43" s="1" t="s">
        <v>231</v>
      </c>
      <c r="C43" s="2">
        <v>46026</v>
      </c>
      <c r="D43" s="1">
        <v>39855302</v>
      </c>
      <c r="E43" s="1" t="s">
        <v>189</v>
      </c>
      <c r="F43" s="1" t="s">
        <v>44</v>
      </c>
      <c r="G43" s="1">
        <v>40</v>
      </c>
      <c r="H43" s="1" t="s">
        <v>190</v>
      </c>
      <c r="I43" s="1" t="s">
        <v>191</v>
      </c>
      <c r="J43" s="1" t="s">
        <v>192</v>
      </c>
      <c r="K43" s="1" t="s">
        <v>193</v>
      </c>
      <c r="L43" s="1" t="str">
        <f t="shared" si="4"/>
        <v xml:space="preserve">960421350679 </v>
      </c>
      <c r="N43" s="1" t="s">
        <v>49</v>
      </c>
      <c r="O43" s="1" t="s">
        <v>50</v>
      </c>
      <c r="P43" s="1" t="s">
        <v>49</v>
      </c>
      <c r="Q43" s="1" t="s">
        <v>50</v>
      </c>
      <c r="R43" s="1" t="s">
        <v>49</v>
      </c>
      <c r="S43" s="1" t="s">
        <v>51</v>
      </c>
      <c r="T43" s="1" t="s">
        <v>52</v>
      </c>
      <c r="U43" s="1" t="s">
        <v>69</v>
      </c>
      <c r="V43" s="1" t="s">
        <v>194</v>
      </c>
      <c r="X43" s="1">
        <v>72.33</v>
      </c>
      <c r="Y43" s="1" t="s">
        <v>195</v>
      </c>
      <c r="Z43" s="1" t="s">
        <v>196</v>
      </c>
      <c r="AC43" s="1">
        <f>0</f>
        <v>0</v>
      </c>
      <c r="AE43" s="1" t="s">
        <v>49</v>
      </c>
      <c r="AF43" s="1" t="s">
        <v>50</v>
      </c>
      <c r="AG43" s="1" t="str">
        <f>"8708509909 "</f>
        <v xml:space="preserve">8708509909 </v>
      </c>
      <c r="AH43" s="1">
        <v>540</v>
      </c>
      <c r="AI43" s="1">
        <v>480.06</v>
      </c>
      <c r="AJ43" s="1">
        <v>6143.94</v>
      </c>
      <c r="AK43" s="1">
        <v>456936.42</v>
      </c>
      <c r="AL43" s="1">
        <v>903.88</v>
      </c>
      <c r="AM43" s="1">
        <v>31</v>
      </c>
      <c r="AN43" s="1" t="s">
        <v>60</v>
      </c>
      <c r="AO43" s="1">
        <v>31</v>
      </c>
      <c r="AP43" s="1" t="s">
        <v>60</v>
      </c>
    </row>
    <row r="44" spans="1:42" x14ac:dyDescent="0.25">
      <c r="A44" s="1" t="s">
        <v>187</v>
      </c>
      <c r="B44" s="1" t="s">
        <v>232</v>
      </c>
      <c r="C44" s="2">
        <v>46026</v>
      </c>
      <c r="D44" s="1">
        <v>39855302</v>
      </c>
      <c r="E44" s="1" t="s">
        <v>189</v>
      </c>
      <c r="F44" s="1" t="s">
        <v>44</v>
      </c>
      <c r="G44" s="1">
        <v>40</v>
      </c>
      <c r="H44" s="1" t="s">
        <v>190</v>
      </c>
      <c r="I44" s="1" t="s">
        <v>191</v>
      </c>
      <c r="J44" s="1" t="s">
        <v>192</v>
      </c>
      <c r="K44" s="1" t="s">
        <v>193</v>
      </c>
      <c r="L44" s="1" t="str">
        <f t="shared" si="4"/>
        <v xml:space="preserve">960421350679 </v>
      </c>
      <c r="N44" s="1" t="s">
        <v>49</v>
      </c>
      <c r="O44" s="1" t="s">
        <v>50</v>
      </c>
      <c r="P44" s="1" t="s">
        <v>49</v>
      </c>
      <c r="Q44" s="1" t="s">
        <v>50</v>
      </c>
      <c r="R44" s="1" t="s">
        <v>49</v>
      </c>
      <c r="S44" s="1" t="s">
        <v>51</v>
      </c>
      <c r="T44" s="1" t="s">
        <v>52</v>
      </c>
      <c r="U44" s="1" t="s">
        <v>69</v>
      </c>
      <c r="V44" s="1" t="s">
        <v>194</v>
      </c>
      <c r="X44" s="1">
        <v>72.33</v>
      </c>
      <c r="Y44" s="1" t="s">
        <v>195</v>
      </c>
      <c r="Z44" s="1" t="s">
        <v>196</v>
      </c>
      <c r="AA44" s="1" t="s">
        <v>233</v>
      </c>
      <c r="AB44" s="1" t="s">
        <v>234</v>
      </c>
      <c r="AC44" s="1">
        <f>0</f>
        <v>0</v>
      </c>
      <c r="AE44" s="1" t="s">
        <v>49</v>
      </c>
      <c r="AF44" s="1" t="s">
        <v>50</v>
      </c>
      <c r="AG44" s="1" t="str">
        <f>"8708509909 "</f>
        <v xml:space="preserve">8708509909 </v>
      </c>
      <c r="AH44" s="1">
        <v>535</v>
      </c>
      <c r="AI44" s="1">
        <v>472.32</v>
      </c>
      <c r="AJ44" s="1">
        <v>6143.94</v>
      </c>
      <c r="AK44" s="1">
        <v>456820.26</v>
      </c>
      <c r="AL44" s="1">
        <v>903.65</v>
      </c>
      <c r="AM44" s="1">
        <v>31</v>
      </c>
      <c r="AN44" s="1" t="s">
        <v>60</v>
      </c>
      <c r="AO44" s="1">
        <v>31</v>
      </c>
      <c r="AP44" s="1" t="s">
        <v>60</v>
      </c>
    </row>
    <row r="45" spans="1:42" x14ac:dyDescent="0.25">
      <c r="A45" s="1" t="s">
        <v>187</v>
      </c>
      <c r="B45" s="1" t="s">
        <v>235</v>
      </c>
      <c r="C45" s="2">
        <v>46026</v>
      </c>
      <c r="D45" s="1">
        <v>39855302</v>
      </c>
      <c r="E45" s="1" t="s">
        <v>189</v>
      </c>
      <c r="F45" s="1" t="s">
        <v>44</v>
      </c>
      <c r="G45" s="1">
        <v>40</v>
      </c>
      <c r="H45" s="1" t="s">
        <v>190</v>
      </c>
      <c r="I45" s="1" t="s">
        <v>191</v>
      </c>
      <c r="J45" s="1" t="s">
        <v>192</v>
      </c>
      <c r="K45" s="1" t="s">
        <v>193</v>
      </c>
      <c r="L45" s="1" t="str">
        <f t="shared" si="4"/>
        <v xml:space="preserve">960421350679 </v>
      </c>
      <c r="N45" s="1" t="s">
        <v>49</v>
      </c>
      <c r="O45" s="1" t="s">
        <v>50</v>
      </c>
      <c r="P45" s="1" t="s">
        <v>49</v>
      </c>
      <c r="Q45" s="1" t="s">
        <v>50</v>
      </c>
      <c r="R45" s="1" t="s">
        <v>49</v>
      </c>
      <c r="S45" s="1" t="s">
        <v>51</v>
      </c>
      <c r="T45" s="1" t="s">
        <v>52</v>
      </c>
      <c r="U45" s="1" t="s">
        <v>69</v>
      </c>
      <c r="V45" s="1" t="s">
        <v>194</v>
      </c>
      <c r="X45" s="1">
        <v>72.33</v>
      </c>
      <c r="Y45" s="1" t="s">
        <v>195</v>
      </c>
      <c r="Z45" s="1" t="s">
        <v>196</v>
      </c>
      <c r="AA45" s="1" t="s">
        <v>236</v>
      </c>
      <c r="AB45" s="1" t="s">
        <v>237</v>
      </c>
      <c r="AC45" s="1">
        <f>0</f>
        <v>0</v>
      </c>
      <c r="AE45" s="1" t="s">
        <v>49</v>
      </c>
      <c r="AF45" s="1" t="s">
        <v>50</v>
      </c>
      <c r="AG45" s="1" t="str">
        <f>"7320109000 "</f>
        <v xml:space="preserve">7320109000 </v>
      </c>
      <c r="AH45" s="1">
        <v>5400</v>
      </c>
      <c r="AI45" s="1">
        <v>5025.8</v>
      </c>
      <c r="AJ45" s="1">
        <v>66912.3</v>
      </c>
      <c r="AK45" s="1">
        <v>4965219.0599999996</v>
      </c>
      <c r="AL45" s="1">
        <v>9821.81</v>
      </c>
      <c r="AM45" s="1">
        <v>31</v>
      </c>
      <c r="AN45" s="1" t="s">
        <v>60</v>
      </c>
      <c r="AO45" s="1">
        <v>31</v>
      </c>
      <c r="AP45" s="1" t="s">
        <v>60</v>
      </c>
    </row>
    <row r="46" spans="1:42" x14ac:dyDescent="0.25">
      <c r="A46" s="1" t="s">
        <v>187</v>
      </c>
      <c r="B46" s="1" t="s">
        <v>238</v>
      </c>
      <c r="C46" s="2">
        <v>46026</v>
      </c>
      <c r="D46" s="1">
        <v>39855302</v>
      </c>
      <c r="E46" s="1" t="s">
        <v>189</v>
      </c>
      <c r="F46" s="1" t="s">
        <v>44</v>
      </c>
      <c r="G46" s="1">
        <v>40</v>
      </c>
      <c r="H46" s="1" t="s">
        <v>190</v>
      </c>
      <c r="I46" s="1" t="s">
        <v>191</v>
      </c>
      <c r="J46" s="1" t="s">
        <v>192</v>
      </c>
      <c r="K46" s="1" t="s">
        <v>193</v>
      </c>
      <c r="L46" s="1" t="str">
        <f t="shared" si="4"/>
        <v xml:space="preserve">960421350679 </v>
      </c>
      <c r="N46" s="1" t="s">
        <v>49</v>
      </c>
      <c r="O46" s="1" t="s">
        <v>50</v>
      </c>
      <c r="P46" s="1" t="s">
        <v>49</v>
      </c>
      <c r="Q46" s="1" t="s">
        <v>50</v>
      </c>
      <c r="R46" s="1" t="s">
        <v>49</v>
      </c>
      <c r="S46" s="1" t="s">
        <v>51</v>
      </c>
      <c r="T46" s="1" t="s">
        <v>52</v>
      </c>
      <c r="U46" s="1" t="s">
        <v>69</v>
      </c>
      <c r="V46" s="1" t="s">
        <v>194</v>
      </c>
      <c r="X46" s="1">
        <v>72.33</v>
      </c>
      <c r="Y46" s="1" t="s">
        <v>195</v>
      </c>
      <c r="Z46" s="1" t="s">
        <v>196</v>
      </c>
      <c r="AA46" s="1" t="s">
        <v>239</v>
      </c>
      <c r="AB46" s="1" t="s">
        <v>240</v>
      </c>
      <c r="AC46" s="1">
        <f>0</f>
        <v>0</v>
      </c>
      <c r="AE46" s="1" t="s">
        <v>49</v>
      </c>
      <c r="AF46" s="1" t="s">
        <v>50</v>
      </c>
      <c r="AG46" s="1" t="str">
        <f>"8708949909 "</f>
        <v xml:space="preserve">8708949909 </v>
      </c>
      <c r="AH46" s="1">
        <v>445</v>
      </c>
      <c r="AI46" s="1">
        <v>382.95</v>
      </c>
      <c r="AJ46" s="1">
        <v>29004.84</v>
      </c>
      <c r="AK46" s="1">
        <v>2108258.29</v>
      </c>
      <c r="AL46" s="1">
        <v>4170.3900000000003</v>
      </c>
      <c r="AM46" s="1">
        <v>31</v>
      </c>
      <c r="AN46" s="1" t="s">
        <v>60</v>
      </c>
      <c r="AO46" s="1">
        <v>31</v>
      </c>
      <c r="AP46" s="1" t="s">
        <v>60</v>
      </c>
    </row>
    <row r="47" spans="1:42" x14ac:dyDescent="0.25">
      <c r="A47" s="1" t="s">
        <v>187</v>
      </c>
      <c r="B47" s="1" t="s">
        <v>241</v>
      </c>
      <c r="C47" s="2">
        <v>46026</v>
      </c>
      <c r="D47" s="1">
        <v>39855302</v>
      </c>
      <c r="E47" s="1" t="s">
        <v>189</v>
      </c>
      <c r="F47" s="1" t="s">
        <v>44</v>
      </c>
      <c r="G47" s="1">
        <v>40</v>
      </c>
      <c r="H47" s="1" t="s">
        <v>190</v>
      </c>
      <c r="I47" s="1" t="s">
        <v>191</v>
      </c>
      <c r="J47" s="1" t="s">
        <v>192</v>
      </c>
      <c r="K47" s="1" t="s">
        <v>193</v>
      </c>
      <c r="L47" s="1" t="str">
        <f t="shared" si="4"/>
        <v xml:space="preserve">960421350679 </v>
      </c>
      <c r="N47" s="1" t="s">
        <v>49</v>
      </c>
      <c r="O47" s="1" t="s">
        <v>50</v>
      </c>
      <c r="P47" s="1" t="s">
        <v>49</v>
      </c>
      <c r="Q47" s="1" t="s">
        <v>50</v>
      </c>
      <c r="R47" s="1" t="s">
        <v>49</v>
      </c>
      <c r="S47" s="1" t="s">
        <v>51</v>
      </c>
      <c r="T47" s="1" t="s">
        <v>52</v>
      </c>
      <c r="U47" s="1" t="s">
        <v>69</v>
      </c>
      <c r="V47" s="1" t="s">
        <v>194</v>
      </c>
      <c r="X47" s="1">
        <v>72.33</v>
      </c>
      <c r="Y47" s="1" t="s">
        <v>195</v>
      </c>
      <c r="Z47" s="1" t="s">
        <v>196</v>
      </c>
      <c r="AA47" s="1" t="s">
        <v>242</v>
      </c>
      <c r="AB47" s="1" t="s">
        <v>243</v>
      </c>
      <c r="AC47" s="1">
        <f>0</f>
        <v>0</v>
      </c>
      <c r="AE47" s="1" t="s">
        <v>49</v>
      </c>
      <c r="AF47" s="1" t="s">
        <v>50</v>
      </c>
      <c r="AG47" s="1" t="str">
        <f>"7318190008 "</f>
        <v xml:space="preserve">7318190008 </v>
      </c>
      <c r="AH47" s="1">
        <v>2536</v>
      </c>
      <c r="AI47" s="1">
        <v>2136.66</v>
      </c>
      <c r="AJ47" s="1">
        <v>35140.160000000003</v>
      </c>
      <c r="AK47" s="1">
        <v>2600603.9300000002</v>
      </c>
      <c r="AL47" s="1">
        <v>5144.3100000000004</v>
      </c>
      <c r="AM47" s="1">
        <v>31</v>
      </c>
      <c r="AN47" s="1" t="s">
        <v>60</v>
      </c>
      <c r="AO47" s="1">
        <v>31</v>
      </c>
      <c r="AP47" s="1" t="s">
        <v>60</v>
      </c>
    </row>
    <row r="48" spans="1:42" x14ac:dyDescent="0.25">
      <c r="A48" s="1" t="s">
        <v>187</v>
      </c>
      <c r="B48" s="1" t="s">
        <v>244</v>
      </c>
      <c r="C48" s="2">
        <v>46026</v>
      </c>
      <c r="D48" s="1">
        <v>39855302</v>
      </c>
      <c r="E48" s="1" t="s">
        <v>189</v>
      </c>
      <c r="F48" s="1" t="s">
        <v>44</v>
      </c>
      <c r="G48" s="1">
        <v>40</v>
      </c>
      <c r="H48" s="1" t="s">
        <v>190</v>
      </c>
      <c r="I48" s="1" t="s">
        <v>191</v>
      </c>
      <c r="J48" s="1" t="s">
        <v>192</v>
      </c>
      <c r="K48" s="1" t="s">
        <v>193</v>
      </c>
      <c r="L48" s="1" t="str">
        <f t="shared" si="4"/>
        <v xml:space="preserve">960421350679 </v>
      </c>
      <c r="N48" s="1" t="s">
        <v>49</v>
      </c>
      <c r="O48" s="1" t="s">
        <v>50</v>
      </c>
      <c r="P48" s="1" t="s">
        <v>49</v>
      </c>
      <c r="Q48" s="1" t="s">
        <v>50</v>
      </c>
      <c r="R48" s="1" t="s">
        <v>49</v>
      </c>
      <c r="S48" s="1" t="s">
        <v>51</v>
      </c>
      <c r="T48" s="1" t="s">
        <v>52</v>
      </c>
      <c r="U48" s="1" t="s">
        <v>69</v>
      </c>
      <c r="V48" s="1" t="s">
        <v>194</v>
      </c>
      <c r="X48" s="1">
        <v>72.33</v>
      </c>
      <c r="Y48" s="1" t="s">
        <v>195</v>
      </c>
      <c r="Z48" s="1" t="s">
        <v>196</v>
      </c>
      <c r="AA48" s="1" t="s">
        <v>245</v>
      </c>
      <c r="AB48" s="1" t="s">
        <v>246</v>
      </c>
      <c r="AC48" s="1">
        <f>0</f>
        <v>0</v>
      </c>
      <c r="AE48" s="1" t="s">
        <v>49</v>
      </c>
      <c r="AF48" s="1" t="s">
        <v>50</v>
      </c>
      <c r="AG48" s="1" t="str">
        <f>"8708709109 "</f>
        <v xml:space="preserve">8708709109 </v>
      </c>
      <c r="AH48" s="1">
        <v>450</v>
      </c>
      <c r="AI48" s="1">
        <v>345</v>
      </c>
      <c r="AJ48" s="1">
        <v>5405.85</v>
      </c>
      <c r="AK48" s="1">
        <v>401459.5</v>
      </c>
      <c r="AL48" s="1">
        <v>794.14</v>
      </c>
      <c r="AM48" s="1">
        <v>31</v>
      </c>
      <c r="AN48" s="1" t="s">
        <v>60</v>
      </c>
      <c r="AO48" s="1">
        <v>31</v>
      </c>
      <c r="AP48" s="1" t="s">
        <v>60</v>
      </c>
    </row>
    <row r="49" spans="1:42" x14ac:dyDescent="0.25">
      <c r="A49" s="1" t="s">
        <v>187</v>
      </c>
      <c r="B49" s="1" t="s">
        <v>247</v>
      </c>
      <c r="C49" s="2">
        <v>46026</v>
      </c>
      <c r="D49" s="1">
        <v>39855302</v>
      </c>
      <c r="E49" s="1" t="s">
        <v>189</v>
      </c>
      <c r="F49" s="1" t="s">
        <v>44</v>
      </c>
      <c r="G49" s="1">
        <v>40</v>
      </c>
      <c r="H49" s="1" t="s">
        <v>190</v>
      </c>
      <c r="I49" s="1" t="s">
        <v>191</v>
      </c>
      <c r="J49" s="1" t="s">
        <v>192</v>
      </c>
      <c r="K49" s="1" t="s">
        <v>193</v>
      </c>
      <c r="L49" s="1" t="str">
        <f t="shared" si="4"/>
        <v xml:space="preserve">960421350679 </v>
      </c>
      <c r="N49" s="1" t="s">
        <v>49</v>
      </c>
      <c r="O49" s="1" t="s">
        <v>50</v>
      </c>
      <c r="P49" s="1" t="s">
        <v>49</v>
      </c>
      <c r="Q49" s="1" t="s">
        <v>50</v>
      </c>
      <c r="R49" s="1" t="s">
        <v>49</v>
      </c>
      <c r="S49" s="1" t="s">
        <v>51</v>
      </c>
      <c r="T49" s="1" t="s">
        <v>52</v>
      </c>
      <c r="U49" s="1" t="s">
        <v>69</v>
      </c>
      <c r="V49" s="1" t="s">
        <v>194</v>
      </c>
      <c r="X49" s="1">
        <v>72.33</v>
      </c>
      <c r="Y49" s="1" t="s">
        <v>195</v>
      </c>
      <c r="Z49" s="1" t="s">
        <v>196</v>
      </c>
      <c r="AA49" s="1" t="s">
        <v>248</v>
      </c>
      <c r="AB49" s="1" t="s">
        <v>249</v>
      </c>
      <c r="AC49" s="1">
        <f>0</f>
        <v>0</v>
      </c>
      <c r="AE49" s="1" t="s">
        <v>49</v>
      </c>
      <c r="AF49" s="1" t="s">
        <v>50</v>
      </c>
      <c r="AG49" s="1" t="str">
        <f>"8708309909 "</f>
        <v xml:space="preserve">8708309909 </v>
      </c>
      <c r="AH49" s="1">
        <v>5374.4</v>
      </c>
      <c r="AI49" s="1">
        <v>4897</v>
      </c>
      <c r="AJ49" s="1">
        <v>48815.33</v>
      </c>
      <c r="AK49" s="1">
        <v>3655670.46</v>
      </c>
      <c r="AL49" s="1">
        <v>7231.36</v>
      </c>
      <c r="AM49" s="1">
        <v>31</v>
      </c>
      <c r="AN49" s="1" t="s">
        <v>60</v>
      </c>
      <c r="AO49" s="1">
        <v>31</v>
      </c>
      <c r="AP49" s="1" t="s">
        <v>60</v>
      </c>
    </row>
    <row r="50" spans="1:42" x14ac:dyDescent="0.25">
      <c r="A50" s="1" t="s">
        <v>187</v>
      </c>
      <c r="B50" s="1" t="s">
        <v>250</v>
      </c>
      <c r="C50" s="2">
        <v>46026</v>
      </c>
      <c r="D50" s="1">
        <v>39855302</v>
      </c>
      <c r="E50" s="1" t="s">
        <v>189</v>
      </c>
      <c r="F50" s="1" t="s">
        <v>44</v>
      </c>
      <c r="G50" s="1">
        <v>40</v>
      </c>
      <c r="H50" s="1" t="s">
        <v>190</v>
      </c>
      <c r="I50" s="1" t="s">
        <v>191</v>
      </c>
      <c r="J50" s="1" t="s">
        <v>192</v>
      </c>
      <c r="K50" s="1" t="s">
        <v>193</v>
      </c>
      <c r="L50" s="1" t="str">
        <f t="shared" si="4"/>
        <v xml:space="preserve">960421350679 </v>
      </c>
      <c r="N50" s="1" t="s">
        <v>49</v>
      </c>
      <c r="O50" s="1" t="s">
        <v>50</v>
      </c>
      <c r="P50" s="1" t="s">
        <v>49</v>
      </c>
      <c r="Q50" s="1" t="s">
        <v>50</v>
      </c>
      <c r="R50" s="1" t="s">
        <v>49</v>
      </c>
      <c r="S50" s="1" t="s">
        <v>51</v>
      </c>
      <c r="T50" s="1" t="s">
        <v>52</v>
      </c>
      <c r="U50" s="1" t="s">
        <v>69</v>
      </c>
      <c r="V50" s="1" t="s">
        <v>194</v>
      </c>
      <c r="X50" s="1">
        <v>72.33</v>
      </c>
      <c r="Y50" s="1" t="s">
        <v>195</v>
      </c>
      <c r="Z50" s="1" t="s">
        <v>196</v>
      </c>
      <c r="AA50" s="1" t="s">
        <v>251</v>
      </c>
      <c r="AB50" s="1" t="s">
        <v>252</v>
      </c>
      <c r="AC50" s="1">
        <f>0</f>
        <v>0</v>
      </c>
      <c r="AE50" s="1" t="s">
        <v>49</v>
      </c>
      <c r="AF50" s="1" t="s">
        <v>50</v>
      </c>
      <c r="AG50" s="1" t="str">
        <f>"8708309909 "</f>
        <v xml:space="preserve">8708309909 </v>
      </c>
      <c r="AH50" s="1">
        <v>700</v>
      </c>
      <c r="AI50" s="1">
        <v>612.35</v>
      </c>
      <c r="AJ50" s="1">
        <v>16080</v>
      </c>
      <c r="AK50" s="1">
        <v>1179328.75</v>
      </c>
      <c r="AL50" s="1">
        <v>2332.86</v>
      </c>
      <c r="AM50" s="1">
        <v>31</v>
      </c>
      <c r="AN50" s="1" t="s">
        <v>60</v>
      </c>
      <c r="AO50" s="1">
        <v>31</v>
      </c>
      <c r="AP50" s="1" t="s">
        <v>60</v>
      </c>
    </row>
    <row r="51" spans="1:42" x14ac:dyDescent="0.25">
      <c r="A51" s="1" t="s">
        <v>187</v>
      </c>
      <c r="B51" s="1" t="s">
        <v>253</v>
      </c>
      <c r="C51" s="2">
        <v>46026</v>
      </c>
      <c r="D51" s="1">
        <v>39855302</v>
      </c>
      <c r="E51" s="1" t="s">
        <v>189</v>
      </c>
      <c r="F51" s="1" t="s">
        <v>44</v>
      </c>
      <c r="G51" s="1">
        <v>40</v>
      </c>
      <c r="H51" s="1" t="s">
        <v>190</v>
      </c>
      <c r="I51" s="1" t="s">
        <v>191</v>
      </c>
      <c r="J51" s="1" t="s">
        <v>192</v>
      </c>
      <c r="K51" s="1" t="s">
        <v>193</v>
      </c>
      <c r="L51" s="1" t="str">
        <f t="shared" si="4"/>
        <v xml:space="preserve">960421350679 </v>
      </c>
      <c r="N51" s="1" t="s">
        <v>49</v>
      </c>
      <c r="O51" s="1" t="s">
        <v>50</v>
      </c>
      <c r="P51" s="1" t="s">
        <v>49</v>
      </c>
      <c r="Q51" s="1" t="s">
        <v>50</v>
      </c>
      <c r="R51" s="1" t="s">
        <v>49</v>
      </c>
      <c r="S51" s="1" t="s">
        <v>51</v>
      </c>
      <c r="T51" s="1" t="s">
        <v>52</v>
      </c>
      <c r="U51" s="1" t="s">
        <v>69</v>
      </c>
      <c r="V51" s="1" t="s">
        <v>194</v>
      </c>
      <c r="X51" s="1">
        <v>72.33</v>
      </c>
      <c r="Y51" s="1" t="s">
        <v>195</v>
      </c>
      <c r="Z51" s="1" t="s">
        <v>196</v>
      </c>
      <c r="AA51" s="1" t="s">
        <v>254</v>
      </c>
      <c r="AB51" s="1" t="s">
        <v>255</v>
      </c>
      <c r="AC51" s="1">
        <f>0</f>
        <v>0</v>
      </c>
      <c r="AE51" s="1" t="s">
        <v>49</v>
      </c>
      <c r="AF51" s="1" t="s">
        <v>50</v>
      </c>
      <c r="AG51" s="1" t="str">
        <f>"8708309909 "</f>
        <v xml:space="preserve">8708309909 </v>
      </c>
      <c r="AH51" s="1">
        <v>1355</v>
      </c>
      <c r="AI51" s="1">
        <v>996.07</v>
      </c>
      <c r="AJ51" s="1">
        <v>23530</v>
      </c>
      <c r="AK51" s="1">
        <v>1733404.16</v>
      </c>
      <c r="AL51" s="1">
        <v>3428.88</v>
      </c>
      <c r="AM51" s="1">
        <v>31</v>
      </c>
      <c r="AN51" s="1" t="s">
        <v>60</v>
      </c>
      <c r="AO51" s="1">
        <v>31</v>
      </c>
      <c r="AP51" s="1" t="s">
        <v>60</v>
      </c>
    </row>
    <row r="52" spans="1:42" x14ac:dyDescent="0.25">
      <c r="A52" s="1" t="s">
        <v>256</v>
      </c>
      <c r="B52" s="1" t="s">
        <v>257</v>
      </c>
      <c r="C52" s="2">
        <v>46026</v>
      </c>
      <c r="D52" s="1">
        <v>39857504</v>
      </c>
      <c r="F52" s="1" t="s">
        <v>44</v>
      </c>
      <c r="G52" s="1">
        <v>40</v>
      </c>
      <c r="H52" s="1" t="s">
        <v>63</v>
      </c>
      <c r="I52" s="1" t="s">
        <v>64</v>
      </c>
      <c r="J52" s="1" t="s">
        <v>65</v>
      </c>
      <c r="K52" s="1" t="s">
        <v>85</v>
      </c>
      <c r="L52" s="1" t="str">
        <f>"90840006023 "</f>
        <v xml:space="preserve">90840006023 </v>
      </c>
      <c r="N52" s="1" t="s">
        <v>67</v>
      </c>
      <c r="O52" s="1" t="s">
        <v>68</v>
      </c>
      <c r="P52" s="1" t="s">
        <v>49</v>
      </c>
      <c r="Q52" s="1" t="s">
        <v>50</v>
      </c>
      <c r="R52" s="1" t="s">
        <v>49</v>
      </c>
      <c r="S52" s="1" t="s">
        <v>51</v>
      </c>
      <c r="T52" s="1" t="s">
        <v>52</v>
      </c>
      <c r="U52" s="1" t="s">
        <v>69</v>
      </c>
      <c r="V52" s="1" t="s">
        <v>70</v>
      </c>
      <c r="X52" s="1">
        <v>505.53</v>
      </c>
      <c r="Y52" s="1" t="s">
        <v>71</v>
      </c>
      <c r="Z52" s="1" t="s">
        <v>72</v>
      </c>
      <c r="AA52" s="1" t="s">
        <v>86</v>
      </c>
      <c r="AB52" s="1" t="s">
        <v>258</v>
      </c>
      <c r="AC52" s="1">
        <f>0</f>
        <v>0</v>
      </c>
      <c r="AE52" s="1" t="s">
        <v>49</v>
      </c>
      <c r="AF52" s="1" t="s">
        <v>50</v>
      </c>
      <c r="AG52" s="1" t="str">
        <f>"7326110000 "</f>
        <v xml:space="preserve">7326110000 </v>
      </c>
      <c r="AH52" s="1">
        <v>156480</v>
      </c>
      <c r="AI52" s="1">
        <v>156000</v>
      </c>
      <c r="AJ52" s="1">
        <v>159255.72</v>
      </c>
      <c r="AK52" s="1">
        <v>94995181.129999995</v>
      </c>
      <c r="AL52" s="1">
        <v>187912.05</v>
      </c>
      <c r="AM52" s="1">
        <v>20</v>
      </c>
      <c r="AN52" s="1" t="s">
        <v>75</v>
      </c>
      <c r="AO52" s="1">
        <v>20</v>
      </c>
      <c r="AP52" s="1" t="s">
        <v>75</v>
      </c>
    </row>
    <row r="53" spans="1:42" x14ac:dyDescent="0.25">
      <c r="A53" s="1" t="s">
        <v>259</v>
      </c>
      <c r="B53" s="1" t="s">
        <v>260</v>
      </c>
      <c r="C53" s="2">
        <v>46026</v>
      </c>
      <c r="D53" s="1">
        <v>39857504</v>
      </c>
      <c r="F53" s="1" t="s">
        <v>44</v>
      </c>
      <c r="G53" s="1">
        <v>40</v>
      </c>
      <c r="H53" s="1" t="s">
        <v>63</v>
      </c>
      <c r="I53" s="1" t="s">
        <v>64</v>
      </c>
      <c r="J53" s="1" t="s">
        <v>78</v>
      </c>
      <c r="K53" s="1" t="s">
        <v>79</v>
      </c>
      <c r="L53" s="1" t="str">
        <f>"90540005490 "</f>
        <v xml:space="preserve">90540005490 </v>
      </c>
      <c r="N53" s="1" t="s">
        <v>67</v>
      </c>
      <c r="O53" s="1" t="s">
        <v>68</v>
      </c>
      <c r="P53" s="1" t="s">
        <v>49</v>
      </c>
      <c r="Q53" s="1" t="s">
        <v>50</v>
      </c>
      <c r="R53" s="1" t="s">
        <v>49</v>
      </c>
      <c r="S53" s="1" t="s">
        <v>51</v>
      </c>
      <c r="T53" s="1" t="s">
        <v>52</v>
      </c>
      <c r="U53" s="1" t="s">
        <v>69</v>
      </c>
      <c r="V53" s="1" t="s">
        <v>70</v>
      </c>
      <c r="X53" s="1">
        <v>505.53</v>
      </c>
      <c r="Y53" s="1" t="s">
        <v>71</v>
      </c>
      <c r="Z53" s="1" t="s">
        <v>80</v>
      </c>
      <c r="AA53" s="1" t="s">
        <v>81</v>
      </c>
      <c r="AB53" s="1" t="s">
        <v>261</v>
      </c>
      <c r="AC53" s="1">
        <f>0</f>
        <v>0</v>
      </c>
      <c r="AE53" s="1" t="s">
        <v>49</v>
      </c>
      <c r="AF53" s="1" t="s">
        <v>50</v>
      </c>
      <c r="AG53" s="1" t="str">
        <f>"7326110000 "</f>
        <v xml:space="preserve">7326110000 </v>
      </c>
      <c r="AH53" s="1">
        <v>52160</v>
      </c>
      <c r="AI53" s="1">
        <v>52000</v>
      </c>
      <c r="AJ53" s="1">
        <v>53085.24</v>
      </c>
      <c r="AK53" s="1">
        <v>31775426.98</v>
      </c>
      <c r="AL53" s="1">
        <v>62855.67</v>
      </c>
      <c r="AM53" s="1">
        <v>20</v>
      </c>
      <c r="AN53" s="1" t="s">
        <v>75</v>
      </c>
      <c r="AO53" s="1">
        <v>20</v>
      </c>
      <c r="AP53" s="1" t="s">
        <v>75</v>
      </c>
    </row>
    <row r="54" spans="1:42" x14ac:dyDescent="0.25">
      <c r="A54" s="1" t="s">
        <v>187</v>
      </c>
      <c r="B54" s="1" t="s">
        <v>262</v>
      </c>
      <c r="C54" s="2">
        <v>46026</v>
      </c>
      <c r="D54" s="1">
        <v>39855302</v>
      </c>
      <c r="E54" s="1" t="s">
        <v>189</v>
      </c>
      <c r="F54" s="1" t="s">
        <v>44</v>
      </c>
      <c r="G54" s="1">
        <v>40</v>
      </c>
      <c r="H54" s="1" t="s">
        <v>190</v>
      </c>
      <c r="I54" s="1" t="s">
        <v>191</v>
      </c>
      <c r="J54" s="1" t="s">
        <v>192</v>
      </c>
      <c r="K54" s="1" t="s">
        <v>193</v>
      </c>
      <c r="L54" s="1" t="str">
        <f>"960421350679 "</f>
        <v xml:space="preserve">960421350679 </v>
      </c>
      <c r="N54" s="1" t="s">
        <v>49</v>
      </c>
      <c r="O54" s="1" t="s">
        <v>50</v>
      </c>
      <c r="P54" s="1" t="s">
        <v>49</v>
      </c>
      <c r="Q54" s="1" t="s">
        <v>50</v>
      </c>
      <c r="R54" s="1" t="s">
        <v>49</v>
      </c>
      <c r="S54" s="1" t="s">
        <v>51</v>
      </c>
      <c r="T54" s="1" t="s">
        <v>52</v>
      </c>
      <c r="U54" s="1" t="s">
        <v>69</v>
      </c>
      <c r="V54" s="1" t="s">
        <v>194</v>
      </c>
      <c r="X54" s="1">
        <v>72.33</v>
      </c>
      <c r="Y54" s="1" t="s">
        <v>195</v>
      </c>
      <c r="Z54" s="1" t="s">
        <v>196</v>
      </c>
      <c r="AA54" s="1" t="s">
        <v>263</v>
      </c>
      <c r="AB54" s="1" t="s">
        <v>264</v>
      </c>
      <c r="AC54" s="1">
        <f>0</f>
        <v>0</v>
      </c>
      <c r="AE54" s="1" t="s">
        <v>49</v>
      </c>
      <c r="AF54" s="1" t="s">
        <v>50</v>
      </c>
      <c r="AG54" s="1" t="str">
        <f>"7318190008 "</f>
        <v xml:space="preserve">7318190008 </v>
      </c>
      <c r="AH54" s="1">
        <v>869</v>
      </c>
      <c r="AI54" s="1">
        <v>756.25</v>
      </c>
      <c r="AJ54" s="1">
        <v>13120.25</v>
      </c>
      <c r="AK54" s="1">
        <v>969176.22</v>
      </c>
      <c r="AL54" s="1">
        <v>1917.15</v>
      </c>
      <c r="AM54" s="1">
        <v>31</v>
      </c>
      <c r="AN54" s="1" t="s">
        <v>60</v>
      </c>
      <c r="AO54" s="1">
        <v>31</v>
      </c>
      <c r="AP54" s="1" t="s">
        <v>60</v>
      </c>
    </row>
    <row r="55" spans="1:42" x14ac:dyDescent="0.25">
      <c r="A55" s="1" t="s">
        <v>265</v>
      </c>
      <c r="B55" s="1" t="s">
        <v>266</v>
      </c>
      <c r="C55" s="2">
        <v>46027</v>
      </c>
      <c r="D55" s="1">
        <v>39851804</v>
      </c>
      <c r="E55" s="1" t="s">
        <v>267</v>
      </c>
      <c r="F55" s="1" t="s">
        <v>44</v>
      </c>
      <c r="G55" s="1">
        <v>40</v>
      </c>
      <c r="H55" s="1" t="s">
        <v>268</v>
      </c>
      <c r="I55" s="1" t="s">
        <v>269</v>
      </c>
      <c r="J55" s="1" t="s">
        <v>270</v>
      </c>
      <c r="K55" s="1" t="s">
        <v>271</v>
      </c>
      <c r="L55" s="1" t="str">
        <f>"61240002472 "</f>
        <v xml:space="preserve">61240002472 </v>
      </c>
      <c r="N55" s="1" t="s">
        <v>272</v>
      </c>
      <c r="O55" s="1" t="s">
        <v>273</v>
      </c>
      <c r="P55" s="1" t="s">
        <v>49</v>
      </c>
      <c r="Q55" s="1" t="s">
        <v>50</v>
      </c>
      <c r="R55" s="1" t="s">
        <v>49</v>
      </c>
      <c r="S55" s="1" t="s">
        <v>51</v>
      </c>
      <c r="T55" s="1" t="s">
        <v>52</v>
      </c>
      <c r="U55" s="1" t="s">
        <v>115</v>
      </c>
      <c r="V55" s="1" t="s">
        <v>274</v>
      </c>
      <c r="X55" s="1">
        <v>505.53</v>
      </c>
      <c r="Y55" s="1" t="s">
        <v>275</v>
      </c>
      <c r="Z55" s="1" t="s">
        <v>276</v>
      </c>
      <c r="AA55" s="1" t="s">
        <v>277</v>
      </c>
      <c r="AB55" s="1" t="s">
        <v>278</v>
      </c>
      <c r="AC55" s="1">
        <v>40</v>
      </c>
      <c r="AD55" s="1" t="s">
        <v>120</v>
      </c>
      <c r="AE55" s="1" t="s">
        <v>49</v>
      </c>
      <c r="AF55" s="1" t="s">
        <v>50</v>
      </c>
      <c r="AG55" s="1" t="str">
        <f>"4011100009 "</f>
        <v xml:space="preserve">4011100009 </v>
      </c>
      <c r="AH55" s="1">
        <v>498</v>
      </c>
      <c r="AI55" s="1">
        <v>498</v>
      </c>
      <c r="AJ55" s="1">
        <v>1359.2</v>
      </c>
      <c r="AK55" s="1">
        <v>687116.38</v>
      </c>
      <c r="AL55" s="1">
        <v>1359.2</v>
      </c>
      <c r="AM55" s="1">
        <v>20</v>
      </c>
      <c r="AN55" s="1" t="s">
        <v>75</v>
      </c>
      <c r="AO55" s="1">
        <v>20</v>
      </c>
      <c r="AP55" s="1" t="s">
        <v>75</v>
      </c>
    </row>
    <row r="56" spans="1:42" x14ac:dyDescent="0.25">
      <c r="A56" s="1" t="s">
        <v>279</v>
      </c>
      <c r="B56" s="1" t="s">
        <v>280</v>
      </c>
      <c r="C56" s="2">
        <v>46027</v>
      </c>
      <c r="D56" s="1">
        <v>39851804</v>
      </c>
      <c r="E56" s="1" t="s">
        <v>267</v>
      </c>
      <c r="F56" s="1" t="s">
        <v>44</v>
      </c>
      <c r="G56" s="1">
        <v>40</v>
      </c>
      <c r="H56" s="1" t="s">
        <v>281</v>
      </c>
      <c r="I56" s="1" t="s">
        <v>282</v>
      </c>
      <c r="J56" s="1" t="s">
        <v>283</v>
      </c>
      <c r="K56" s="1" t="s">
        <v>284</v>
      </c>
      <c r="L56" s="1" t="str">
        <f>"990640000392 "</f>
        <v xml:space="preserve">990640000392 </v>
      </c>
      <c r="N56" s="1" t="s">
        <v>49</v>
      </c>
      <c r="O56" s="1" t="s">
        <v>50</v>
      </c>
      <c r="P56" s="1" t="s">
        <v>49</v>
      </c>
      <c r="Q56" s="1" t="s">
        <v>50</v>
      </c>
      <c r="R56" s="1" t="s">
        <v>49</v>
      </c>
      <c r="S56" s="1" t="s">
        <v>51</v>
      </c>
      <c r="T56" s="1" t="s">
        <v>52</v>
      </c>
      <c r="U56" s="1" t="s">
        <v>69</v>
      </c>
      <c r="V56" s="1" t="s">
        <v>285</v>
      </c>
      <c r="X56" s="1">
        <v>72.33</v>
      </c>
      <c r="Y56" s="1" t="s">
        <v>286</v>
      </c>
      <c r="Z56" s="1" t="s">
        <v>287</v>
      </c>
      <c r="AA56" s="1" t="s">
        <v>288</v>
      </c>
      <c r="AB56" s="1" t="s">
        <v>289</v>
      </c>
      <c r="AC56" s="1">
        <f>0</f>
        <v>0</v>
      </c>
      <c r="AE56" s="1" t="s">
        <v>49</v>
      </c>
      <c r="AF56" s="1" t="s">
        <v>50</v>
      </c>
      <c r="AG56" s="1" t="str">
        <f>"3920300009 "</f>
        <v xml:space="preserve">3920300009 </v>
      </c>
      <c r="AH56" s="1">
        <v>15500</v>
      </c>
      <c r="AI56" s="1">
        <v>15340.28</v>
      </c>
      <c r="AJ56" s="1">
        <v>214763.96</v>
      </c>
      <c r="AK56" s="1">
        <v>16960223.460000001</v>
      </c>
      <c r="AL56" s="1">
        <v>33549.39</v>
      </c>
      <c r="AM56" s="1">
        <v>20</v>
      </c>
      <c r="AN56" s="1" t="s">
        <v>75</v>
      </c>
      <c r="AO56" s="1">
        <v>20</v>
      </c>
      <c r="AP56" s="1" t="s">
        <v>75</v>
      </c>
    </row>
    <row r="57" spans="1:42" x14ac:dyDescent="0.25">
      <c r="A57" s="1" t="s">
        <v>290</v>
      </c>
      <c r="B57" s="1" t="s">
        <v>291</v>
      </c>
      <c r="C57" s="2">
        <v>46027</v>
      </c>
      <c r="D57" s="1">
        <v>39855101</v>
      </c>
      <c r="E57" s="1" t="s">
        <v>292</v>
      </c>
      <c r="F57" s="1" t="s">
        <v>44</v>
      </c>
      <c r="G57" s="1">
        <v>40</v>
      </c>
      <c r="H57" s="1" t="s">
        <v>293</v>
      </c>
      <c r="I57" s="1" t="s">
        <v>294</v>
      </c>
      <c r="J57" s="1" t="s">
        <v>295</v>
      </c>
      <c r="K57" s="1" t="s">
        <v>296</v>
      </c>
      <c r="L57" s="1" t="str">
        <f>"960940000615 "</f>
        <v xml:space="preserve">960940000615 </v>
      </c>
      <c r="N57" s="1" t="s">
        <v>49</v>
      </c>
      <c r="O57" s="1" t="s">
        <v>50</v>
      </c>
      <c r="P57" s="1" t="s">
        <v>49</v>
      </c>
      <c r="Q57" s="1" t="s">
        <v>50</v>
      </c>
      <c r="R57" s="1" t="s">
        <v>49</v>
      </c>
      <c r="S57" s="1" t="s">
        <v>51</v>
      </c>
      <c r="T57" s="1" t="s">
        <v>52</v>
      </c>
      <c r="U57" s="1" t="s">
        <v>53</v>
      </c>
      <c r="V57" s="1" t="s">
        <v>297</v>
      </c>
      <c r="X57" s="1">
        <v>505.53</v>
      </c>
      <c r="Y57" s="1" t="s">
        <v>298</v>
      </c>
      <c r="Z57" s="1" t="s">
        <v>299</v>
      </c>
      <c r="AA57" s="1" t="s">
        <v>300</v>
      </c>
      <c r="AB57" s="1" t="s">
        <v>301</v>
      </c>
      <c r="AC57" s="1">
        <v>350</v>
      </c>
      <c r="AD57" s="1" t="s">
        <v>120</v>
      </c>
      <c r="AE57" s="1" t="s">
        <v>49</v>
      </c>
      <c r="AF57" s="1" t="s">
        <v>50</v>
      </c>
      <c r="AG57" s="1" t="str">
        <f>"6910900000 "</f>
        <v xml:space="preserve">6910900000 </v>
      </c>
      <c r="AH57" s="1">
        <v>9720</v>
      </c>
      <c r="AI57" s="1">
        <v>8750</v>
      </c>
      <c r="AJ57" s="1">
        <v>8430</v>
      </c>
      <c r="AK57" s="1">
        <v>4842227.13</v>
      </c>
      <c r="AL57" s="1">
        <v>9578.52</v>
      </c>
      <c r="AM57" s="1">
        <v>20</v>
      </c>
      <c r="AN57" s="1" t="s">
        <v>75</v>
      </c>
      <c r="AO57" s="1">
        <v>20</v>
      </c>
      <c r="AP57" s="1" t="s">
        <v>75</v>
      </c>
    </row>
    <row r="58" spans="1:42" x14ac:dyDescent="0.25">
      <c r="A58" s="1" t="s">
        <v>302</v>
      </c>
      <c r="B58" s="1" t="s">
        <v>303</v>
      </c>
      <c r="C58" s="2">
        <v>46027</v>
      </c>
      <c r="D58" s="1">
        <v>39855303</v>
      </c>
      <c r="E58" s="1" t="s">
        <v>304</v>
      </c>
      <c r="F58" s="1" t="s">
        <v>44</v>
      </c>
      <c r="G58" s="1">
        <v>78</v>
      </c>
      <c r="H58" s="1" t="s">
        <v>305</v>
      </c>
      <c r="I58" s="1" t="s">
        <v>306</v>
      </c>
      <c r="J58" s="1" t="s">
        <v>307</v>
      </c>
      <c r="K58" s="1" t="s">
        <v>308</v>
      </c>
      <c r="L58" s="1" t="str">
        <f>"140340016552 "</f>
        <v xml:space="preserve">140340016552 </v>
      </c>
      <c r="N58" s="1" t="s">
        <v>49</v>
      </c>
      <c r="O58" s="1" t="s">
        <v>50</v>
      </c>
      <c r="P58" s="1" t="s">
        <v>49</v>
      </c>
      <c r="Q58" s="1" t="s">
        <v>50</v>
      </c>
      <c r="R58" s="1" t="s">
        <v>49</v>
      </c>
      <c r="S58" s="1" t="s">
        <v>51</v>
      </c>
      <c r="T58" s="1" t="s">
        <v>52</v>
      </c>
      <c r="U58" s="1" t="s">
        <v>53</v>
      </c>
      <c r="V58" s="1" t="s">
        <v>309</v>
      </c>
      <c r="X58" s="1">
        <v>505.53</v>
      </c>
      <c r="Y58" s="1" t="s">
        <v>310</v>
      </c>
      <c r="Z58" s="1" t="s">
        <v>311</v>
      </c>
      <c r="AA58" s="1" t="s">
        <v>312</v>
      </c>
      <c r="AB58" s="1" t="s">
        <v>313</v>
      </c>
      <c r="AC58" s="1">
        <f>0</f>
        <v>0</v>
      </c>
      <c r="AE58" s="1" t="s">
        <v>49</v>
      </c>
      <c r="AF58" s="1" t="s">
        <v>50</v>
      </c>
      <c r="AG58" s="1" t="str">
        <f>"8529909200 "</f>
        <v xml:space="preserve">8529909200 </v>
      </c>
      <c r="AH58" s="1">
        <v>4057.2</v>
      </c>
      <c r="AI58" s="1">
        <v>3780</v>
      </c>
      <c r="AJ58" s="1">
        <v>86503.2</v>
      </c>
      <c r="AK58" s="1">
        <v>44687878.829999998</v>
      </c>
      <c r="AL58" s="1">
        <v>88398.07</v>
      </c>
      <c r="AM58" s="1">
        <v>31</v>
      </c>
      <c r="AN58" s="1" t="s">
        <v>60</v>
      </c>
      <c r="AO58" s="1">
        <v>31</v>
      </c>
      <c r="AP58" s="1" t="s">
        <v>60</v>
      </c>
    </row>
    <row r="59" spans="1:42" x14ac:dyDescent="0.25">
      <c r="A59" s="1" t="s">
        <v>302</v>
      </c>
      <c r="B59" s="1" t="s">
        <v>314</v>
      </c>
      <c r="C59" s="2">
        <v>46027</v>
      </c>
      <c r="D59" s="1">
        <v>39855303</v>
      </c>
      <c r="E59" s="1" t="s">
        <v>304</v>
      </c>
      <c r="F59" s="1" t="s">
        <v>44</v>
      </c>
      <c r="G59" s="1">
        <v>78</v>
      </c>
      <c r="H59" s="1" t="s">
        <v>305</v>
      </c>
      <c r="I59" s="1" t="s">
        <v>306</v>
      </c>
      <c r="J59" s="1" t="s">
        <v>307</v>
      </c>
      <c r="K59" s="1" t="s">
        <v>308</v>
      </c>
      <c r="L59" s="1" t="str">
        <f>"140340016552 "</f>
        <v xml:space="preserve">140340016552 </v>
      </c>
      <c r="N59" s="1" t="s">
        <v>49</v>
      </c>
      <c r="O59" s="1" t="s">
        <v>50</v>
      </c>
      <c r="P59" s="1" t="s">
        <v>49</v>
      </c>
      <c r="Q59" s="1" t="s">
        <v>50</v>
      </c>
      <c r="R59" s="1" t="s">
        <v>49</v>
      </c>
      <c r="S59" s="1" t="s">
        <v>51</v>
      </c>
      <c r="T59" s="1" t="s">
        <v>52</v>
      </c>
      <c r="U59" s="1" t="s">
        <v>53</v>
      </c>
      <c r="V59" s="1" t="s">
        <v>309</v>
      </c>
      <c r="X59" s="1">
        <v>505.53</v>
      </c>
      <c r="Y59" s="1" t="s">
        <v>310</v>
      </c>
      <c r="Z59" s="1" t="s">
        <v>311</v>
      </c>
      <c r="AA59" s="1" t="s">
        <v>312</v>
      </c>
      <c r="AB59" s="1" t="s">
        <v>315</v>
      </c>
      <c r="AC59" s="1">
        <f>0</f>
        <v>0</v>
      </c>
      <c r="AE59" s="1" t="s">
        <v>49</v>
      </c>
      <c r="AF59" s="1" t="s">
        <v>50</v>
      </c>
      <c r="AG59" s="1" t="str">
        <f>"8529909200 "</f>
        <v xml:space="preserve">8529909200 </v>
      </c>
      <c r="AH59" s="1">
        <v>2704.8</v>
      </c>
      <c r="AI59" s="1">
        <v>2520</v>
      </c>
      <c r="AJ59" s="1">
        <v>57668.800000000003</v>
      </c>
      <c r="AK59" s="1">
        <v>29791919.210000001</v>
      </c>
      <c r="AL59" s="1">
        <v>58932.05</v>
      </c>
      <c r="AM59" s="1">
        <v>31</v>
      </c>
      <c r="AN59" s="1" t="s">
        <v>60</v>
      </c>
      <c r="AO59" s="1">
        <v>31</v>
      </c>
      <c r="AP59" s="1" t="s">
        <v>60</v>
      </c>
    </row>
    <row r="60" spans="1:42" x14ac:dyDescent="0.25">
      <c r="A60" s="1" t="s">
        <v>302</v>
      </c>
      <c r="B60" s="1" t="s">
        <v>316</v>
      </c>
      <c r="C60" s="2">
        <v>46027</v>
      </c>
      <c r="D60" s="1">
        <v>39855303</v>
      </c>
      <c r="E60" s="1" t="s">
        <v>304</v>
      </c>
      <c r="F60" s="1" t="s">
        <v>44</v>
      </c>
      <c r="G60" s="1">
        <v>78</v>
      </c>
      <c r="H60" s="1" t="s">
        <v>305</v>
      </c>
      <c r="I60" s="1" t="s">
        <v>306</v>
      </c>
      <c r="J60" s="1" t="s">
        <v>307</v>
      </c>
      <c r="K60" s="1" t="s">
        <v>308</v>
      </c>
      <c r="L60" s="1" t="str">
        <f>"140340016552 "</f>
        <v xml:space="preserve">140340016552 </v>
      </c>
      <c r="N60" s="1" t="s">
        <v>49</v>
      </c>
      <c r="O60" s="1" t="s">
        <v>50</v>
      </c>
      <c r="P60" s="1" t="s">
        <v>49</v>
      </c>
      <c r="Q60" s="1" t="s">
        <v>50</v>
      </c>
      <c r="R60" s="1" t="s">
        <v>49</v>
      </c>
      <c r="S60" s="1" t="s">
        <v>51</v>
      </c>
      <c r="T60" s="1" t="s">
        <v>52</v>
      </c>
      <c r="U60" s="1" t="s">
        <v>53</v>
      </c>
      <c r="V60" s="1" t="s">
        <v>309</v>
      </c>
      <c r="X60" s="1">
        <v>505.53</v>
      </c>
      <c r="Y60" s="1" t="s">
        <v>317</v>
      </c>
      <c r="Z60" s="1" t="s">
        <v>311</v>
      </c>
      <c r="AA60" s="1" t="s">
        <v>318</v>
      </c>
      <c r="AB60" s="1" t="s">
        <v>319</v>
      </c>
      <c r="AC60" s="1">
        <f>0</f>
        <v>0</v>
      </c>
      <c r="AE60" s="1" t="s">
        <v>49</v>
      </c>
      <c r="AF60" s="1" t="s">
        <v>50</v>
      </c>
      <c r="AG60" s="1" t="str">
        <f>"8529906508 "</f>
        <v xml:space="preserve">8529906508 </v>
      </c>
      <c r="AH60" s="1">
        <v>4063.52</v>
      </c>
      <c r="AI60" s="1">
        <v>2973.52</v>
      </c>
      <c r="AJ60" s="1">
        <v>163500</v>
      </c>
      <c r="AK60" s="1">
        <v>83613563.310000002</v>
      </c>
      <c r="AL60" s="1">
        <v>165397.82999999999</v>
      </c>
      <c r="AM60" s="1">
        <v>31</v>
      </c>
      <c r="AN60" s="1" t="s">
        <v>60</v>
      </c>
      <c r="AO60" s="1">
        <v>31</v>
      </c>
      <c r="AP60" s="1" t="s">
        <v>60</v>
      </c>
    </row>
    <row r="61" spans="1:42" x14ac:dyDescent="0.25">
      <c r="A61" s="1" t="s">
        <v>320</v>
      </c>
      <c r="B61" s="1" t="s">
        <v>321</v>
      </c>
      <c r="C61" s="2">
        <v>46027</v>
      </c>
      <c r="D61" s="1">
        <v>39855403</v>
      </c>
      <c r="E61" s="1" t="s">
        <v>90</v>
      </c>
      <c r="F61" s="1" t="s">
        <v>44</v>
      </c>
      <c r="G61" s="1">
        <v>40</v>
      </c>
      <c r="H61" s="1" t="s">
        <v>322</v>
      </c>
      <c r="I61" s="1" t="s">
        <v>323</v>
      </c>
      <c r="J61" s="1" t="s">
        <v>324</v>
      </c>
      <c r="K61" s="1" t="s">
        <v>325</v>
      </c>
      <c r="L61" s="1" t="str">
        <f>"140141008864 "</f>
        <v xml:space="preserve">140141008864 </v>
      </c>
      <c r="N61" s="1" t="s">
        <v>49</v>
      </c>
      <c r="O61" s="1" t="s">
        <v>50</v>
      </c>
      <c r="P61" s="1" t="s">
        <v>49</v>
      </c>
      <c r="Q61" s="1" t="s">
        <v>50</v>
      </c>
      <c r="R61" s="1" t="s">
        <v>49</v>
      </c>
      <c r="S61" s="1" t="s">
        <v>51</v>
      </c>
      <c r="T61" s="1" t="s">
        <v>52</v>
      </c>
      <c r="U61" s="1" t="s">
        <v>115</v>
      </c>
      <c r="V61" s="1" t="s">
        <v>326</v>
      </c>
      <c r="X61" s="1">
        <v>72.33</v>
      </c>
      <c r="Y61" s="1" t="s">
        <v>327</v>
      </c>
      <c r="Z61" s="1" t="s">
        <v>328</v>
      </c>
      <c r="AA61" s="1" t="s">
        <v>329</v>
      </c>
      <c r="AB61" s="1" t="s">
        <v>330</v>
      </c>
      <c r="AC61" s="1">
        <f>0</f>
        <v>0</v>
      </c>
      <c r="AE61" s="1" t="s">
        <v>49</v>
      </c>
      <c r="AF61" s="1" t="s">
        <v>50</v>
      </c>
      <c r="AG61" s="1" t="str">
        <f>"7308909809 "</f>
        <v xml:space="preserve">7308909809 </v>
      </c>
      <c r="AH61" s="1">
        <v>162080</v>
      </c>
      <c r="AI61" s="1">
        <v>162080</v>
      </c>
      <c r="AJ61" s="1">
        <v>1474928</v>
      </c>
      <c r="AK61" s="1">
        <v>107591496.23999999</v>
      </c>
      <c r="AL61" s="1">
        <v>212829.1</v>
      </c>
      <c r="AM61" s="1">
        <v>31</v>
      </c>
      <c r="AN61" s="1" t="s">
        <v>60</v>
      </c>
      <c r="AO61" s="1">
        <v>31</v>
      </c>
      <c r="AP61" s="1" t="s">
        <v>60</v>
      </c>
    </row>
    <row r="62" spans="1:42" x14ac:dyDescent="0.25">
      <c r="A62" s="1" t="s">
        <v>331</v>
      </c>
      <c r="B62" s="1" t="s">
        <v>332</v>
      </c>
      <c r="C62" s="2">
        <v>46027</v>
      </c>
      <c r="D62" s="1">
        <v>39855403</v>
      </c>
      <c r="E62" s="1" t="s">
        <v>90</v>
      </c>
      <c r="F62" s="1" t="s">
        <v>44</v>
      </c>
      <c r="G62" s="1">
        <v>40</v>
      </c>
      <c r="H62" s="1" t="s">
        <v>333</v>
      </c>
      <c r="I62" s="1" t="s">
        <v>323</v>
      </c>
      <c r="J62" s="1" t="s">
        <v>334</v>
      </c>
      <c r="K62" s="1" t="s">
        <v>335</v>
      </c>
      <c r="L62" s="1" t="str">
        <f>"30540009998 "</f>
        <v xml:space="preserve">30540009998 </v>
      </c>
      <c r="N62" s="1" t="s">
        <v>49</v>
      </c>
      <c r="O62" s="1" t="s">
        <v>50</v>
      </c>
      <c r="P62" s="1" t="s">
        <v>49</v>
      </c>
      <c r="Q62" s="1" t="s">
        <v>50</v>
      </c>
      <c r="R62" s="1" t="s">
        <v>49</v>
      </c>
      <c r="S62" s="1" t="s">
        <v>51</v>
      </c>
      <c r="T62" s="1" t="s">
        <v>52</v>
      </c>
      <c r="U62" s="1" t="s">
        <v>115</v>
      </c>
      <c r="V62" s="1" t="s">
        <v>194</v>
      </c>
      <c r="X62" s="1">
        <v>72.33</v>
      </c>
      <c r="Y62" s="1" t="s">
        <v>336</v>
      </c>
      <c r="Z62" s="1" t="s">
        <v>337</v>
      </c>
      <c r="AA62" s="1" t="s">
        <v>338</v>
      </c>
      <c r="AB62" s="1" t="s">
        <v>339</v>
      </c>
      <c r="AC62" s="1">
        <f>0</f>
        <v>0</v>
      </c>
      <c r="AE62" s="1" t="s">
        <v>49</v>
      </c>
      <c r="AF62" s="1" t="s">
        <v>50</v>
      </c>
      <c r="AG62" s="1" t="str">
        <f>"7308905900 "</f>
        <v xml:space="preserve">7308905900 </v>
      </c>
      <c r="AH62" s="1">
        <v>13866</v>
      </c>
      <c r="AI62" s="1">
        <v>13866</v>
      </c>
      <c r="AJ62" s="1">
        <v>122688</v>
      </c>
      <c r="AK62" s="1">
        <v>14130281.35</v>
      </c>
      <c r="AL62" s="1">
        <v>27951.42</v>
      </c>
      <c r="AM62" s="1">
        <v>31</v>
      </c>
      <c r="AN62" s="1" t="s">
        <v>60</v>
      </c>
      <c r="AO62" s="1">
        <v>31</v>
      </c>
      <c r="AP62" s="1" t="s">
        <v>60</v>
      </c>
    </row>
    <row r="63" spans="1:42" x14ac:dyDescent="0.25">
      <c r="A63" s="1" t="s">
        <v>331</v>
      </c>
      <c r="B63" s="1" t="s">
        <v>340</v>
      </c>
      <c r="C63" s="2">
        <v>46027</v>
      </c>
      <c r="D63" s="1">
        <v>39855403</v>
      </c>
      <c r="E63" s="1" t="s">
        <v>90</v>
      </c>
      <c r="F63" s="1" t="s">
        <v>44</v>
      </c>
      <c r="G63" s="1">
        <v>40</v>
      </c>
      <c r="H63" s="1" t="s">
        <v>333</v>
      </c>
      <c r="I63" s="1" t="s">
        <v>323</v>
      </c>
      <c r="J63" s="1" t="s">
        <v>334</v>
      </c>
      <c r="K63" s="1" t="s">
        <v>335</v>
      </c>
      <c r="L63" s="1" t="str">
        <f>"30540009998 "</f>
        <v xml:space="preserve">30540009998 </v>
      </c>
      <c r="N63" s="1" t="s">
        <v>49</v>
      </c>
      <c r="O63" s="1" t="s">
        <v>50</v>
      </c>
      <c r="P63" s="1" t="s">
        <v>49</v>
      </c>
      <c r="Q63" s="1" t="s">
        <v>50</v>
      </c>
      <c r="R63" s="1" t="s">
        <v>49</v>
      </c>
      <c r="S63" s="1" t="s">
        <v>51</v>
      </c>
      <c r="T63" s="1" t="s">
        <v>52</v>
      </c>
      <c r="U63" s="1" t="s">
        <v>115</v>
      </c>
      <c r="V63" s="1" t="s">
        <v>194</v>
      </c>
      <c r="X63" s="1">
        <v>72.33</v>
      </c>
      <c r="Y63" s="1" t="s">
        <v>336</v>
      </c>
      <c r="Z63" s="1" t="s">
        <v>337</v>
      </c>
      <c r="AA63" s="1" t="s">
        <v>341</v>
      </c>
      <c r="AB63" s="1" t="s">
        <v>342</v>
      </c>
      <c r="AC63" s="1">
        <f>0</f>
        <v>0</v>
      </c>
      <c r="AE63" s="1" t="s">
        <v>49</v>
      </c>
      <c r="AF63" s="1" t="s">
        <v>50</v>
      </c>
      <c r="AG63" s="1" t="str">
        <f>"7308300000 "</f>
        <v xml:space="preserve">7308300000 </v>
      </c>
      <c r="AH63" s="1">
        <v>1697</v>
      </c>
      <c r="AI63" s="1">
        <v>1697</v>
      </c>
      <c r="AJ63" s="1">
        <v>17166.599999999999</v>
      </c>
      <c r="AK63" s="1">
        <v>1715768.82</v>
      </c>
      <c r="AL63" s="1">
        <v>3394</v>
      </c>
      <c r="AM63" s="1">
        <v>31</v>
      </c>
      <c r="AN63" s="1" t="s">
        <v>60</v>
      </c>
      <c r="AO63" s="1">
        <v>31</v>
      </c>
      <c r="AP63" s="1" t="s">
        <v>60</v>
      </c>
    </row>
    <row r="64" spans="1:42" x14ac:dyDescent="0.25">
      <c r="A64" s="1" t="s">
        <v>331</v>
      </c>
      <c r="B64" s="1" t="s">
        <v>343</v>
      </c>
      <c r="C64" s="2">
        <v>46027</v>
      </c>
      <c r="D64" s="1">
        <v>39855403</v>
      </c>
      <c r="E64" s="1" t="s">
        <v>90</v>
      </c>
      <c r="F64" s="1" t="s">
        <v>44</v>
      </c>
      <c r="G64" s="1">
        <v>40</v>
      </c>
      <c r="H64" s="1" t="s">
        <v>333</v>
      </c>
      <c r="I64" s="1" t="s">
        <v>323</v>
      </c>
      <c r="J64" s="1" t="s">
        <v>334</v>
      </c>
      <c r="K64" s="1" t="s">
        <v>335</v>
      </c>
      <c r="L64" s="1" t="str">
        <f>"30540009998 "</f>
        <v xml:space="preserve">30540009998 </v>
      </c>
      <c r="N64" s="1" t="s">
        <v>49</v>
      </c>
      <c r="O64" s="1" t="s">
        <v>50</v>
      </c>
      <c r="P64" s="1" t="s">
        <v>49</v>
      </c>
      <c r="Q64" s="1" t="s">
        <v>50</v>
      </c>
      <c r="R64" s="1" t="s">
        <v>49</v>
      </c>
      <c r="S64" s="1" t="s">
        <v>51</v>
      </c>
      <c r="T64" s="1" t="s">
        <v>52</v>
      </c>
      <c r="U64" s="1" t="s">
        <v>115</v>
      </c>
      <c r="V64" s="1" t="s">
        <v>194</v>
      </c>
      <c r="X64" s="1">
        <v>72.33</v>
      </c>
      <c r="Y64" s="1" t="s">
        <v>336</v>
      </c>
      <c r="Z64" s="1" t="s">
        <v>337</v>
      </c>
      <c r="AA64" s="1" t="s">
        <v>344</v>
      </c>
      <c r="AB64" s="1" t="s">
        <v>345</v>
      </c>
      <c r="AC64" s="1">
        <f>0</f>
        <v>0</v>
      </c>
      <c r="AE64" s="1" t="s">
        <v>49</v>
      </c>
      <c r="AF64" s="1" t="s">
        <v>50</v>
      </c>
      <c r="AG64" s="1" t="str">
        <f>"3925200000 "</f>
        <v xml:space="preserve">3925200000 </v>
      </c>
      <c r="AH64" s="1">
        <v>1354</v>
      </c>
      <c r="AI64" s="1">
        <v>1354</v>
      </c>
      <c r="AJ64" s="1">
        <v>9363.6</v>
      </c>
      <c r="AK64" s="1">
        <v>2062496.68</v>
      </c>
      <c r="AL64" s="1">
        <v>4079.87</v>
      </c>
      <c r="AM64" s="1">
        <v>31</v>
      </c>
      <c r="AN64" s="1" t="s">
        <v>60</v>
      </c>
      <c r="AO64" s="1">
        <v>31</v>
      </c>
      <c r="AP64" s="1" t="s">
        <v>60</v>
      </c>
    </row>
    <row r="65" spans="1:42" x14ac:dyDescent="0.25">
      <c r="A65" s="1" t="s">
        <v>346</v>
      </c>
      <c r="B65" s="1" t="s">
        <v>347</v>
      </c>
      <c r="C65" s="2">
        <v>46027</v>
      </c>
      <c r="D65" s="1">
        <v>39855403</v>
      </c>
      <c r="E65" s="1" t="s">
        <v>90</v>
      </c>
      <c r="F65" s="1" t="s">
        <v>44</v>
      </c>
      <c r="G65" s="1">
        <v>40</v>
      </c>
      <c r="H65" s="1" t="s">
        <v>333</v>
      </c>
      <c r="I65" s="1" t="s">
        <v>323</v>
      </c>
      <c r="J65" s="1" t="s">
        <v>334</v>
      </c>
      <c r="K65" s="1" t="s">
        <v>335</v>
      </c>
      <c r="L65" s="1" t="str">
        <f>"30540009998 "</f>
        <v xml:space="preserve">30540009998 </v>
      </c>
      <c r="N65" s="1" t="s">
        <v>49</v>
      </c>
      <c r="O65" s="1" t="s">
        <v>50</v>
      </c>
      <c r="P65" s="1" t="s">
        <v>49</v>
      </c>
      <c r="Q65" s="1" t="s">
        <v>50</v>
      </c>
      <c r="R65" s="1" t="s">
        <v>49</v>
      </c>
      <c r="S65" s="1" t="s">
        <v>51</v>
      </c>
      <c r="T65" s="1" t="s">
        <v>52</v>
      </c>
      <c r="U65" s="1" t="s">
        <v>115</v>
      </c>
      <c r="V65" s="1" t="s">
        <v>194</v>
      </c>
      <c r="X65" s="1">
        <v>72.33</v>
      </c>
      <c r="Y65" s="1" t="s">
        <v>336</v>
      </c>
      <c r="Z65" s="1" t="s">
        <v>348</v>
      </c>
      <c r="AA65" s="1" t="s">
        <v>338</v>
      </c>
      <c r="AB65" s="1" t="s">
        <v>349</v>
      </c>
      <c r="AC65" s="1">
        <f>0</f>
        <v>0</v>
      </c>
      <c r="AE65" s="1" t="s">
        <v>49</v>
      </c>
      <c r="AF65" s="1" t="s">
        <v>50</v>
      </c>
      <c r="AG65" s="1" t="str">
        <f>"7308905900 "</f>
        <v xml:space="preserve">7308905900 </v>
      </c>
      <c r="AH65" s="1">
        <v>18307</v>
      </c>
      <c r="AI65" s="1">
        <v>18302</v>
      </c>
      <c r="AJ65" s="1">
        <v>122688</v>
      </c>
      <c r="AK65" s="1">
        <v>16653978.109999999</v>
      </c>
      <c r="AL65" s="1">
        <v>32943.599999999999</v>
      </c>
      <c r="AM65" s="1">
        <v>31</v>
      </c>
      <c r="AN65" s="1" t="s">
        <v>60</v>
      </c>
      <c r="AO65" s="1">
        <v>31</v>
      </c>
      <c r="AP65" s="1" t="s">
        <v>60</v>
      </c>
    </row>
    <row r="66" spans="1:42" x14ac:dyDescent="0.25">
      <c r="A66" s="1" t="s">
        <v>346</v>
      </c>
      <c r="B66" s="1" t="s">
        <v>350</v>
      </c>
      <c r="C66" s="2">
        <v>46027</v>
      </c>
      <c r="D66" s="1">
        <v>39855403</v>
      </c>
      <c r="E66" s="1" t="s">
        <v>90</v>
      </c>
      <c r="F66" s="1" t="s">
        <v>44</v>
      </c>
      <c r="G66" s="1">
        <v>40</v>
      </c>
      <c r="H66" s="1" t="s">
        <v>333</v>
      </c>
      <c r="I66" s="1" t="s">
        <v>323</v>
      </c>
      <c r="J66" s="1" t="s">
        <v>334</v>
      </c>
      <c r="K66" s="1" t="s">
        <v>335</v>
      </c>
      <c r="L66" s="1" t="str">
        <f>"30540009998 "</f>
        <v xml:space="preserve">30540009998 </v>
      </c>
      <c r="N66" s="1" t="s">
        <v>49</v>
      </c>
      <c r="O66" s="1" t="s">
        <v>50</v>
      </c>
      <c r="P66" s="1" t="s">
        <v>49</v>
      </c>
      <c r="Q66" s="1" t="s">
        <v>50</v>
      </c>
      <c r="R66" s="1" t="s">
        <v>49</v>
      </c>
      <c r="S66" s="1" t="s">
        <v>51</v>
      </c>
      <c r="T66" s="1" t="s">
        <v>52</v>
      </c>
      <c r="U66" s="1" t="s">
        <v>115</v>
      </c>
      <c r="V66" s="1" t="s">
        <v>194</v>
      </c>
      <c r="X66" s="1">
        <v>72.33</v>
      </c>
      <c r="Y66" s="1" t="s">
        <v>336</v>
      </c>
      <c r="Z66" s="1" t="s">
        <v>348</v>
      </c>
      <c r="AA66" s="1" t="s">
        <v>344</v>
      </c>
      <c r="AB66" s="1" t="s">
        <v>351</v>
      </c>
      <c r="AC66" s="1">
        <f>0</f>
        <v>0</v>
      </c>
      <c r="AE66" s="1" t="s">
        <v>49</v>
      </c>
      <c r="AF66" s="1" t="s">
        <v>50</v>
      </c>
      <c r="AG66" s="1" t="str">
        <f>"3925200000 "</f>
        <v xml:space="preserve">3925200000 </v>
      </c>
      <c r="AH66" s="1">
        <v>942</v>
      </c>
      <c r="AI66" s="1">
        <v>942</v>
      </c>
      <c r="AJ66" s="1">
        <v>4681.8</v>
      </c>
      <c r="AK66" s="1">
        <v>1438151.97</v>
      </c>
      <c r="AL66" s="1">
        <v>2844.84</v>
      </c>
      <c r="AM66" s="1">
        <v>31</v>
      </c>
      <c r="AN66" s="1" t="s">
        <v>60</v>
      </c>
      <c r="AO66" s="1">
        <v>31</v>
      </c>
      <c r="AP66" s="1" t="s">
        <v>60</v>
      </c>
    </row>
    <row r="67" spans="1:42" x14ac:dyDescent="0.25">
      <c r="A67" s="1" t="s">
        <v>352</v>
      </c>
      <c r="B67" s="1" t="s">
        <v>353</v>
      </c>
      <c r="C67" s="2">
        <v>46027</v>
      </c>
      <c r="D67" s="1">
        <v>39855403</v>
      </c>
      <c r="E67" s="1" t="s">
        <v>90</v>
      </c>
      <c r="F67" s="1" t="s">
        <v>44</v>
      </c>
      <c r="G67" s="1">
        <v>40</v>
      </c>
      <c r="H67" s="1" t="s">
        <v>354</v>
      </c>
      <c r="I67" s="1" t="s">
        <v>355</v>
      </c>
      <c r="J67" s="1" t="s">
        <v>356</v>
      </c>
      <c r="K67" s="1" t="s">
        <v>357</v>
      </c>
      <c r="L67" s="1" t="str">
        <f>"130540011178 "</f>
        <v xml:space="preserve">130540011178 </v>
      </c>
      <c r="N67" s="1" t="s">
        <v>49</v>
      </c>
      <c r="O67" s="1" t="s">
        <v>50</v>
      </c>
      <c r="P67" s="1" t="s">
        <v>49</v>
      </c>
      <c r="Q67" s="1" t="s">
        <v>50</v>
      </c>
      <c r="R67" s="1" t="s">
        <v>49</v>
      </c>
      <c r="S67" s="1" t="s">
        <v>51</v>
      </c>
      <c r="T67" s="1" t="s">
        <v>52</v>
      </c>
      <c r="U67" s="1" t="s">
        <v>53</v>
      </c>
      <c r="V67" s="1" t="s">
        <v>358</v>
      </c>
      <c r="X67" s="1">
        <v>505.53</v>
      </c>
      <c r="Y67" s="1" t="s">
        <v>359</v>
      </c>
      <c r="Z67" s="1" t="s">
        <v>360</v>
      </c>
      <c r="AA67" s="1" t="s">
        <v>361</v>
      </c>
      <c r="AB67" s="1" t="s">
        <v>362</v>
      </c>
      <c r="AC67" s="1">
        <f>0</f>
        <v>0</v>
      </c>
      <c r="AE67" s="1" t="s">
        <v>49</v>
      </c>
      <c r="AF67" s="1" t="s">
        <v>50</v>
      </c>
      <c r="AG67" s="1" t="str">
        <f>"8535210000 "</f>
        <v xml:space="preserve">8535210000 </v>
      </c>
      <c r="AH67" s="1">
        <v>4284</v>
      </c>
      <c r="AI67" s="1">
        <v>3326</v>
      </c>
      <c r="AJ67" s="1">
        <v>12430</v>
      </c>
      <c r="AK67" s="1">
        <v>7000834.1799999997</v>
      </c>
      <c r="AL67" s="1">
        <v>13848.5</v>
      </c>
      <c r="AM67" s="1">
        <v>31</v>
      </c>
      <c r="AN67" s="1" t="s">
        <v>60</v>
      </c>
      <c r="AO67" s="1">
        <v>31</v>
      </c>
      <c r="AP67" s="1" t="s">
        <v>60</v>
      </c>
    </row>
    <row r="68" spans="1:42" x14ac:dyDescent="0.25">
      <c r="A68" s="1" t="s">
        <v>352</v>
      </c>
      <c r="B68" s="1" t="s">
        <v>363</v>
      </c>
      <c r="C68" s="2">
        <v>46027</v>
      </c>
      <c r="D68" s="1">
        <v>39855403</v>
      </c>
      <c r="E68" s="1" t="s">
        <v>90</v>
      </c>
      <c r="F68" s="1" t="s">
        <v>44</v>
      </c>
      <c r="G68" s="1">
        <v>40</v>
      </c>
      <c r="H68" s="1" t="s">
        <v>354</v>
      </c>
      <c r="I68" s="1" t="s">
        <v>355</v>
      </c>
      <c r="J68" s="1" t="s">
        <v>356</v>
      </c>
      <c r="K68" s="1" t="s">
        <v>357</v>
      </c>
      <c r="L68" s="1" t="str">
        <f>"130540011178 "</f>
        <v xml:space="preserve">130540011178 </v>
      </c>
      <c r="N68" s="1" t="s">
        <v>49</v>
      </c>
      <c r="O68" s="1" t="s">
        <v>50</v>
      </c>
      <c r="P68" s="1" t="s">
        <v>49</v>
      </c>
      <c r="Q68" s="1" t="s">
        <v>50</v>
      </c>
      <c r="R68" s="1" t="s">
        <v>49</v>
      </c>
      <c r="S68" s="1" t="s">
        <v>51</v>
      </c>
      <c r="T68" s="1" t="s">
        <v>52</v>
      </c>
      <c r="U68" s="1" t="s">
        <v>53</v>
      </c>
      <c r="V68" s="1" t="s">
        <v>358</v>
      </c>
      <c r="X68" s="1">
        <v>505.53</v>
      </c>
      <c r="Y68" s="1" t="s">
        <v>359</v>
      </c>
      <c r="Z68" s="1" t="s">
        <v>360</v>
      </c>
      <c r="AA68" s="1" t="s">
        <v>364</v>
      </c>
      <c r="AB68" s="1" t="s">
        <v>365</v>
      </c>
      <c r="AC68" s="1">
        <f>0</f>
        <v>0</v>
      </c>
      <c r="AE68" s="1" t="s">
        <v>49</v>
      </c>
      <c r="AF68" s="1" t="s">
        <v>50</v>
      </c>
      <c r="AG68" s="1" t="str">
        <f>"8535210000 "</f>
        <v xml:space="preserve">8535210000 </v>
      </c>
      <c r="AH68" s="1">
        <v>520</v>
      </c>
      <c r="AI68" s="1">
        <v>510</v>
      </c>
      <c r="AJ68" s="1">
        <v>2004</v>
      </c>
      <c r="AK68" s="1">
        <v>1100124.6200000001</v>
      </c>
      <c r="AL68" s="1">
        <v>2176.1799999999998</v>
      </c>
      <c r="AM68" s="1">
        <v>31</v>
      </c>
      <c r="AN68" s="1" t="s">
        <v>60</v>
      </c>
      <c r="AO68" s="1">
        <v>31</v>
      </c>
      <c r="AP68" s="1" t="s">
        <v>60</v>
      </c>
    </row>
    <row r="69" spans="1:42" x14ac:dyDescent="0.25">
      <c r="A69" s="1" t="s">
        <v>352</v>
      </c>
      <c r="B69" s="1" t="s">
        <v>366</v>
      </c>
      <c r="C69" s="2">
        <v>46027</v>
      </c>
      <c r="D69" s="1">
        <v>39855403</v>
      </c>
      <c r="E69" s="1" t="s">
        <v>90</v>
      </c>
      <c r="F69" s="1" t="s">
        <v>44</v>
      </c>
      <c r="G69" s="1">
        <v>40</v>
      </c>
      <c r="H69" s="1" t="s">
        <v>354</v>
      </c>
      <c r="I69" s="1" t="s">
        <v>355</v>
      </c>
      <c r="J69" s="1" t="s">
        <v>356</v>
      </c>
      <c r="K69" s="1" t="s">
        <v>357</v>
      </c>
      <c r="L69" s="1" t="str">
        <f>"130540011178 "</f>
        <v xml:space="preserve">130540011178 </v>
      </c>
      <c r="N69" s="1" t="s">
        <v>49</v>
      </c>
      <c r="O69" s="1" t="s">
        <v>50</v>
      </c>
      <c r="P69" s="1" t="s">
        <v>49</v>
      </c>
      <c r="Q69" s="1" t="s">
        <v>50</v>
      </c>
      <c r="R69" s="1" t="s">
        <v>49</v>
      </c>
      <c r="S69" s="1" t="s">
        <v>51</v>
      </c>
      <c r="T69" s="1" t="s">
        <v>52</v>
      </c>
      <c r="U69" s="1" t="s">
        <v>53</v>
      </c>
      <c r="V69" s="1" t="s">
        <v>358</v>
      </c>
      <c r="X69" s="1">
        <v>505.53</v>
      </c>
      <c r="Y69" s="1" t="s">
        <v>359</v>
      </c>
      <c r="Z69" s="1" t="s">
        <v>360</v>
      </c>
      <c r="AA69" s="1" t="s">
        <v>367</v>
      </c>
      <c r="AB69" s="1" t="s">
        <v>368</v>
      </c>
      <c r="AC69" s="1">
        <f>0</f>
        <v>0</v>
      </c>
      <c r="AE69" s="1" t="s">
        <v>49</v>
      </c>
      <c r="AF69" s="1" t="s">
        <v>50</v>
      </c>
      <c r="AG69" s="1" t="str">
        <f>"8535210000 "</f>
        <v xml:space="preserve">8535210000 </v>
      </c>
      <c r="AH69" s="1">
        <v>2580</v>
      </c>
      <c r="AI69" s="1">
        <v>2240</v>
      </c>
      <c r="AJ69" s="1">
        <v>8612</v>
      </c>
      <c r="AK69" s="1">
        <v>4785489.07</v>
      </c>
      <c r="AL69" s="1">
        <v>9466.2800000000007</v>
      </c>
      <c r="AM69" s="1">
        <v>31</v>
      </c>
      <c r="AN69" s="1" t="s">
        <v>60</v>
      </c>
      <c r="AO69" s="1">
        <v>31</v>
      </c>
      <c r="AP69" s="1" t="s">
        <v>60</v>
      </c>
    </row>
    <row r="70" spans="1:42" x14ac:dyDescent="0.25">
      <c r="A70" s="1" t="s">
        <v>352</v>
      </c>
      <c r="B70" s="1" t="s">
        <v>369</v>
      </c>
      <c r="C70" s="2">
        <v>46027</v>
      </c>
      <c r="D70" s="1">
        <v>39855403</v>
      </c>
      <c r="E70" s="1" t="s">
        <v>90</v>
      </c>
      <c r="F70" s="1" t="s">
        <v>44</v>
      </c>
      <c r="G70" s="1">
        <v>40</v>
      </c>
      <c r="H70" s="1" t="s">
        <v>354</v>
      </c>
      <c r="I70" s="1" t="s">
        <v>355</v>
      </c>
      <c r="J70" s="1" t="s">
        <v>356</v>
      </c>
      <c r="K70" s="1" t="s">
        <v>357</v>
      </c>
      <c r="L70" s="1" t="str">
        <f>"130540011178 "</f>
        <v xml:space="preserve">130540011178 </v>
      </c>
      <c r="N70" s="1" t="s">
        <v>49</v>
      </c>
      <c r="O70" s="1" t="s">
        <v>50</v>
      </c>
      <c r="P70" s="1" t="s">
        <v>49</v>
      </c>
      <c r="Q70" s="1" t="s">
        <v>50</v>
      </c>
      <c r="R70" s="1" t="s">
        <v>49</v>
      </c>
      <c r="S70" s="1" t="s">
        <v>51</v>
      </c>
      <c r="T70" s="1" t="s">
        <v>52</v>
      </c>
      <c r="U70" s="1" t="s">
        <v>53</v>
      </c>
      <c r="V70" s="1" t="s">
        <v>358</v>
      </c>
      <c r="X70" s="1">
        <v>505.53</v>
      </c>
      <c r="Y70" s="1" t="s">
        <v>359</v>
      </c>
      <c r="Z70" s="1" t="s">
        <v>360</v>
      </c>
      <c r="AA70" s="1" t="s">
        <v>370</v>
      </c>
      <c r="AB70" s="1" t="s">
        <v>371</v>
      </c>
      <c r="AC70" s="1">
        <f>0</f>
        <v>0</v>
      </c>
      <c r="AE70" s="1" t="s">
        <v>49</v>
      </c>
      <c r="AF70" s="1" t="s">
        <v>50</v>
      </c>
      <c r="AG70" s="1" t="str">
        <f>"8535210000 "</f>
        <v xml:space="preserve">8535210000 </v>
      </c>
      <c r="AH70" s="1">
        <v>3400</v>
      </c>
      <c r="AI70" s="1">
        <v>3300</v>
      </c>
      <c r="AJ70" s="1">
        <v>19000</v>
      </c>
      <c r="AK70" s="1">
        <v>10174194.029999999</v>
      </c>
      <c r="AL70" s="1">
        <v>20125.8</v>
      </c>
      <c r="AM70" s="1">
        <v>31</v>
      </c>
      <c r="AN70" s="1" t="s">
        <v>60</v>
      </c>
      <c r="AO70" s="1">
        <v>31</v>
      </c>
      <c r="AP70" s="1" t="s">
        <v>60</v>
      </c>
    </row>
    <row r="71" spans="1:42" x14ac:dyDescent="0.25">
      <c r="A71" s="1" t="s">
        <v>352</v>
      </c>
      <c r="B71" s="1" t="s">
        <v>372</v>
      </c>
      <c r="C71" s="2">
        <v>46027</v>
      </c>
      <c r="D71" s="1">
        <v>39855403</v>
      </c>
      <c r="E71" s="1" t="s">
        <v>90</v>
      </c>
      <c r="F71" s="1" t="s">
        <v>44</v>
      </c>
      <c r="G71" s="1">
        <v>40</v>
      </c>
      <c r="H71" s="1" t="s">
        <v>354</v>
      </c>
      <c r="I71" s="1" t="s">
        <v>355</v>
      </c>
      <c r="J71" s="1" t="s">
        <v>356</v>
      </c>
      <c r="K71" s="1" t="s">
        <v>357</v>
      </c>
      <c r="L71" s="1" t="str">
        <f>"130540011178 "</f>
        <v xml:space="preserve">130540011178 </v>
      </c>
      <c r="N71" s="1" t="s">
        <v>49</v>
      </c>
      <c r="O71" s="1" t="s">
        <v>50</v>
      </c>
      <c r="P71" s="1" t="s">
        <v>49</v>
      </c>
      <c r="Q71" s="1" t="s">
        <v>50</v>
      </c>
      <c r="R71" s="1" t="s">
        <v>49</v>
      </c>
      <c r="S71" s="1" t="s">
        <v>51</v>
      </c>
      <c r="T71" s="1" t="s">
        <v>52</v>
      </c>
      <c r="U71" s="1" t="s">
        <v>53</v>
      </c>
      <c r="V71" s="1" t="s">
        <v>358</v>
      </c>
      <c r="X71" s="1">
        <v>505.53</v>
      </c>
      <c r="Y71" s="1" t="s">
        <v>359</v>
      </c>
      <c r="Z71" s="1" t="s">
        <v>360</v>
      </c>
      <c r="AA71" s="1" t="s">
        <v>373</v>
      </c>
      <c r="AB71" s="1" t="s">
        <v>374</v>
      </c>
      <c r="AC71" s="1">
        <f>0</f>
        <v>0</v>
      </c>
      <c r="AE71" s="1" t="s">
        <v>49</v>
      </c>
      <c r="AF71" s="1" t="s">
        <v>50</v>
      </c>
      <c r="AG71" s="1" t="str">
        <f>"8535210000 "</f>
        <v xml:space="preserve">8535210000 </v>
      </c>
      <c r="AH71" s="1">
        <v>2726.8</v>
      </c>
      <c r="AI71" s="1">
        <v>2288</v>
      </c>
      <c r="AJ71" s="1">
        <v>8918</v>
      </c>
      <c r="AK71" s="1">
        <v>4964754.0199999996</v>
      </c>
      <c r="AL71" s="1">
        <v>9820.89</v>
      </c>
      <c r="AM71" s="1">
        <v>31</v>
      </c>
      <c r="AN71" s="1" t="s">
        <v>60</v>
      </c>
      <c r="AO71" s="1">
        <v>31</v>
      </c>
      <c r="AP71" s="1" t="s">
        <v>60</v>
      </c>
    </row>
    <row r="72" spans="1:42" x14ac:dyDescent="0.25">
      <c r="A72" s="1" t="s">
        <v>375</v>
      </c>
      <c r="B72" s="1" t="s">
        <v>376</v>
      </c>
      <c r="C72" s="2">
        <v>46027</v>
      </c>
      <c r="D72" s="1">
        <v>39855411</v>
      </c>
      <c r="F72" s="1" t="s">
        <v>44</v>
      </c>
      <c r="G72" s="1">
        <v>77</v>
      </c>
      <c r="H72" s="1" t="s">
        <v>377</v>
      </c>
      <c r="I72" s="1" t="s">
        <v>378</v>
      </c>
      <c r="K72" s="1" t="s">
        <v>165</v>
      </c>
      <c r="L72" s="1" t="str">
        <f>"200740026238 "</f>
        <v xml:space="preserve">200740026238 </v>
      </c>
      <c r="N72" s="1" t="s">
        <v>49</v>
      </c>
      <c r="O72" s="1" t="s">
        <v>50</v>
      </c>
      <c r="P72" s="1" t="s">
        <v>49</v>
      </c>
      <c r="Q72" s="1" t="s">
        <v>50</v>
      </c>
      <c r="R72" s="1" t="s">
        <v>49</v>
      </c>
      <c r="S72" s="1" t="s">
        <v>51</v>
      </c>
      <c r="T72" s="1" t="s">
        <v>52</v>
      </c>
      <c r="U72" s="1" t="s">
        <v>115</v>
      </c>
      <c r="V72" s="1" t="s">
        <v>379</v>
      </c>
      <c r="X72" s="1">
        <v>505.53</v>
      </c>
      <c r="Y72" s="1" t="s">
        <v>380</v>
      </c>
      <c r="Z72" s="1" t="s">
        <v>381</v>
      </c>
      <c r="AA72" s="1" t="s">
        <v>382</v>
      </c>
      <c r="AB72" s="1" t="s">
        <v>383</v>
      </c>
      <c r="AC72" s="1">
        <f>0</f>
        <v>0</v>
      </c>
      <c r="AE72" s="1" t="s">
        <v>49</v>
      </c>
      <c r="AF72" s="1" t="s">
        <v>50</v>
      </c>
      <c r="AG72" s="1" t="str">
        <f>"7321900000 "</f>
        <v xml:space="preserve">7321900000 </v>
      </c>
      <c r="AH72" s="1">
        <v>658.66</v>
      </c>
      <c r="AI72" s="1">
        <v>625.33000000000004</v>
      </c>
      <c r="AJ72" s="1">
        <v>1486.87</v>
      </c>
      <c r="AK72" s="1">
        <v>786857.63</v>
      </c>
      <c r="AL72" s="1">
        <v>1556.5</v>
      </c>
      <c r="AM72" s="1">
        <v>20</v>
      </c>
      <c r="AN72" s="1" t="s">
        <v>75</v>
      </c>
      <c r="AO72" s="1">
        <v>20</v>
      </c>
      <c r="AP72" s="1" t="s">
        <v>75</v>
      </c>
    </row>
    <row r="73" spans="1:42" x14ac:dyDescent="0.25">
      <c r="A73" s="1" t="s">
        <v>375</v>
      </c>
      <c r="B73" s="1" t="s">
        <v>384</v>
      </c>
      <c r="C73" s="2">
        <v>46027</v>
      </c>
      <c r="D73" s="1">
        <v>39855411</v>
      </c>
      <c r="F73" s="1" t="s">
        <v>44</v>
      </c>
      <c r="G73" s="1">
        <v>77</v>
      </c>
      <c r="H73" s="1" t="s">
        <v>377</v>
      </c>
      <c r="I73" s="1" t="s">
        <v>378</v>
      </c>
      <c r="K73" s="1" t="s">
        <v>165</v>
      </c>
      <c r="L73" s="1" t="str">
        <f>"200740026238 "</f>
        <v xml:space="preserve">200740026238 </v>
      </c>
      <c r="N73" s="1" t="s">
        <v>49</v>
      </c>
      <c r="O73" s="1" t="s">
        <v>50</v>
      </c>
      <c r="P73" s="1" t="s">
        <v>49</v>
      </c>
      <c r="Q73" s="1" t="s">
        <v>50</v>
      </c>
      <c r="R73" s="1" t="s">
        <v>49</v>
      </c>
      <c r="S73" s="1" t="s">
        <v>51</v>
      </c>
      <c r="T73" s="1" t="s">
        <v>52</v>
      </c>
      <c r="U73" s="1" t="s">
        <v>115</v>
      </c>
      <c r="V73" s="1" t="s">
        <v>379</v>
      </c>
      <c r="X73" s="1">
        <v>505.53</v>
      </c>
      <c r="Y73" s="1" t="s">
        <v>380</v>
      </c>
      <c r="Z73" s="1" t="s">
        <v>381</v>
      </c>
      <c r="AA73" s="1" t="s">
        <v>382</v>
      </c>
      <c r="AB73" s="1" t="s">
        <v>385</v>
      </c>
      <c r="AC73" s="1">
        <f>0</f>
        <v>0</v>
      </c>
      <c r="AE73" s="1" t="s">
        <v>49</v>
      </c>
      <c r="AF73" s="1" t="s">
        <v>50</v>
      </c>
      <c r="AG73" s="1" t="str">
        <f>"7321900000 "</f>
        <v xml:space="preserve">7321900000 </v>
      </c>
      <c r="AH73" s="1">
        <v>658.66</v>
      </c>
      <c r="AI73" s="1">
        <v>625.33000000000004</v>
      </c>
      <c r="AJ73" s="1">
        <v>1518.44</v>
      </c>
      <c r="AK73" s="1">
        <v>802817.21</v>
      </c>
      <c r="AL73" s="1">
        <v>1588.07</v>
      </c>
      <c r="AM73" s="1">
        <v>20</v>
      </c>
      <c r="AN73" s="1" t="s">
        <v>75</v>
      </c>
      <c r="AO73" s="1">
        <v>20</v>
      </c>
      <c r="AP73" s="1" t="s">
        <v>75</v>
      </c>
    </row>
    <row r="74" spans="1:42" x14ac:dyDescent="0.25">
      <c r="A74" s="1" t="s">
        <v>375</v>
      </c>
      <c r="B74" s="1" t="s">
        <v>386</v>
      </c>
      <c r="C74" s="2">
        <v>46027</v>
      </c>
      <c r="D74" s="1">
        <v>39855411</v>
      </c>
      <c r="F74" s="1" t="s">
        <v>44</v>
      </c>
      <c r="G74" s="1">
        <v>77</v>
      </c>
      <c r="H74" s="1" t="s">
        <v>377</v>
      </c>
      <c r="I74" s="1" t="s">
        <v>378</v>
      </c>
      <c r="K74" s="1" t="s">
        <v>165</v>
      </c>
      <c r="L74" s="1" t="str">
        <f>"200740026238 "</f>
        <v xml:space="preserve">200740026238 </v>
      </c>
      <c r="N74" s="1" t="s">
        <v>49</v>
      </c>
      <c r="O74" s="1" t="s">
        <v>50</v>
      </c>
      <c r="P74" s="1" t="s">
        <v>49</v>
      </c>
      <c r="Q74" s="1" t="s">
        <v>50</v>
      </c>
      <c r="R74" s="1" t="s">
        <v>49</v>
      </c>
      <c r="S74" s="1" t="s">
        <v>51</v>
      </c>
      <c r="T74" s="1" t="s">
        <v>52</v>
      </c>
      <c r="U74" s="1" t="s">
        <v>115</v>
      </c>
      <c r="V74" s="1" t="s">
        <v>379</v>
      </c>
      <c r="X74" s="1">
        <v>505.53</v>
      </c>
      <c r="Y74" s="1" t="s">
        <v>380</v>
      </c>
      <c r="Z74" s="1" t="s">
        <v>381</v>
      </c>
      <c r="AA74" s="1" t="s">
        <v>382</v>
      </c>
      <c r="AB74" s="1" t="s">
        <v>387</v>
      </c>
      <c r="AC74" s="1">
        <f>0</f>
        <v>0</v>
      </c>
      <c r="AE74" s="1" t="s">
        <v>49</v>
      </c>
      <c r="AF74" s="1" t="s">
        <v>50</v>
      </c>
      <c r="AG74" s="1" t="str">
        <f>"7321900000 "</f>
        <v xml:space="preserve">7321900000 </v>
      </c>
      <c r="AH74" s="1">
        <v>658.68</v>
      </c>
      <c r="AI74" s="1">
        <v>625.34</v>
      </c>
      <c r="AJ74" s="1">
        <v>1460.8</v>
      </c>
      <c r="AK74" s="1">
        <v>773679.54</v>
      </c>
      <c r="AL74" s="1">
        <v>1530.43</v>
      </c>
      <c r="AM74" s="1">
        <v>20</v>
      </c>
      <c r="AN74" s="1" t="s">
        <v>75</v>
      </c>
      <c r="AO74" s="1">
        <v>20</v>
      </c>
      <c r="AP74" s="1" t="s">
        <v>75</v>
      </c>
    </row>
    <row r="75" spans="1:42" x14ac:dyDescent="0.25">
      <c r="A75" s="1" t="s">
        <v>388</v>
      </c>
      <c r="B75" s="1" t="s">
        <v>389</v>
      </c>
      <c r="C75" s="2">
        <v>46027</v>
      </c>
      <c r="D75" s="1">
        <v>39855411</v>
      </c>
      <c r="F75" s="1" t="s">
        <v>44</v>
      </c>
      <c r="G75" s="1">
        <v>40</v>
      </c>
      <c r="H75" s="1" t="s">
        <v>390</v>
      </c>
      <c r="I75" s="1" t="s">
        <v>391</v>
      </c>
      <c r="J75" s="1" t="s">
        <v>392</v>
      </c>
      <c r="K75" s="1" t="s">
        <v>393</v>
      </c>
      <c r="L75" s="1" t="str">
        <f>"240640015850 "</f>
        <v xml:space="preserve">240640015850 </v>
      </c>
      <c r="N75" s="1" t="s">
        <v>49</v>
      </c>
      <c r="O75" s="1" t="s">
        <v>50</v>
      </c>
      <c r="P75" s="1" t="s">
        <v>49</v>
      </c>
      <c r="Q75" s="1" t="s">
        <v>50</v>
      </c>
      <c r="R75" s="1" t="s">
        <v>49</v>
      </c>
      <c r="S75" s="1" t="s">
        <v>51</v>
      </c>
      <c r="T75" s="1" t="s">
        <v>52</v>
      </c>
      <c r="U75" s="1" t="s">
        <v>115</v>
      </c>
      <c r="V75" s="1" t="s">
        <v>394</v>
      </c>
      <c r="X75" s="1">
        <v>505.53</v>
      </c>
      <c r="Y75" s="1" t="s">
        <v>117</v>
      </c>
      <c r="AA75" s="1" t="s">
        <v>395</v>
      </c>
      <c r="AB75" s="1" t="s">
        <v>119</v>
      </c>
      <c r="AC75" s="1">
        <v>1</v>
      </c>
      <c r="AD75" s="1" t="s">
        <v>120</v>
      </c>
      <c r="AE75" s="1" t="s">
        <v>49</v>
      </c>
      <c r="AF75" s="1" t="s">
        <v>50</v>
      </c>
      <c r="AG75" s="1" t="str">
        <f>"8716200000 "</f>
        <v xml:space="preserve">8716200000 </v>
      </c>
      <c r="AH75" s="1">
        <v>11300</v>
      </c>
      <c r="AI75" s="1">
        <v>11300</v>
      </c>
      <c r="AJ75" s="1">
        <v>15650</v>
      </c>
      <c r="AK75" s="1">
        <v>7960578.7400000002</v>
      </c>
      <c r="AL75" s="1">
        <v>15747</v>
      </c>
      <c r="AM75" s="1">
        <v>31</v>
      </c>
      <c r="AN75" s="1" t="s">
        <v>60</v>
      </c>
      <c r="AO75" s="1">
        <v>31</v>
      </c>
      <c r="AP75" s="1" t="s">
        <v>60</v>
      </c>
    </row>
    <row r="76" spans="1:42" x14ac:dyDescent="0.25">
      <c r="A76" s="1" t="s">
        <v>388</v>
      </c>
      <c r="B76" s="1" t="s">
        <v>396</v>
      </c>
      <c r="C76" s="2">
        <v>46027</v>
      </c>
      <c r="D76" s="1">
        <v>39855411</v>
      </c>
      <c r="F76" s="1" t="s">
        <v>44</v>
      </c>
      <c r="G76" s="1">
        <v>40</v>
      </c>
      <c r="H76" s="1" t="s">
        <v>390</v>
      </c>
      <c r="I76" s="1" t="s">
        <v>391</v>
      </c>
      <c r="J76" s="1" t="s">
        <v>392</v>
      </c>
      <c r="K76" s="1" t="s">
        <v>393</v>
      </c>
      <c r="L76" s="1" t="str">
        <f>"240640015850 "</f>
        <v xml:space="preserve">240640015850 </v>
      </c>
      <c r="N76" s="1" t="s">
        <v>49</v>
      </c>
      <c r="O76" s="1" t="s">
        <v>50</v>
      </c>
      <c r="P76" s="1" t="s">
        <v>49</v>
      </c>
      <c r="Q76" s="1" t="s">
        <v>50</v>
      </c>
      <c r="R76" s="1" t="s">
        <v>49</v>
      </c>
      <c r="S76" s="1" t="s">
        <v>51</v>
      </c>
      <c r="T76" s="1" t="s">
        <v>52</v>
      </c>
      <c r="U76" s="1" t="s">
        <v>115</v>
      </c>
      <c r="V76" s="1" t="s">
        <v>394</v>
      </c>
      <c r="X76" s="1">
        <v>505.53</v>
      </c>
      <c r="Y76" s="1" t="s">
        <v>117</v>
      </c>
      <c r="AA76" s="1" t="s">
        <v>397</v>
      </c>
      <c r="AB76" s="1" t="s">
        <v>119</v>
      </c>
      <c r="AC76" s="1">
        <v>1</v>
      </c>
      <c r="AD76" s="1" t="s">
        <v>120</v>
      </c>
      <c r="AE76" s="1" t="s">
        <v>49</v>
      </c>
      <c r="AF76" s="1" t="s">
        <v>50</v>
      </c>
      <c r="AG76" s="1" t="str">
        <f>"8716200000 "</f>
        <v xml:space="preserve">8716200000 </v>
      </c>
      <c r="AH76" s="1">
        <v>11300</v>
      </c>
      <c r="AI76" s="1">
        <v>11300</v>
      </c>
      <c r="AJ76" s="1">
        <v>15650</v>
      </c>
      <c r="AK76" s="1">
        <v>7960578.7400000002</v>
      </c>
      <c r="AL76" s="1">
        <v>15747</v>
      </c>
      <c r="AM76" s="1">
        <v>31</v>
      </c>
      <c r="AN76" s="1" t="s">
        <v>60</v>
      </c>
      <c r="AO76" s="1">
        <v>31</v>
      </c>
      <c r="AP76" s="1" t="s">
        <v>60</v>
      </c>
    </row>
    <row r="77" spans="1:42" x14ac:dyDescent="0.25">
      <c r="A77" s="1" t="s">
        <v>388</v>
      </c>
      <c r="B77" s="1" t="s">
        <v>398</v>
      </c>
      <c r="C77" s="2">
        <v>46027</v>
      </c>
      <c r="D77" s="1">
        <v>39855411</v>
      </c>
      <c r="F77" s="1" t="s">
        <v>44</v>
      </c>
      <c r="G77" s="1">
        <v>40</v>
      </c>
      <c r="H77" s="1" t="s">
        <v>390</v>
      </c>
      <c r="I77" s="1" t="s">
        <v>391</v>
      </c>
      <c r="J77" s="1" t="s">
        <v>392</v>
      </c>
      <c r="K77" s="1" t="s">
        <v>393</v>
      </c>
      <c r="L77" s="1" t="str">
        <f>"240640015850 "</f>
        <v xml:space="preserve">240640015850 </v>
      </c>
      <c r="N77" s="1" t="s">
        <v>49</v>
      </c>
      <c r="O77" s="1" t="s">
        <v>50</v>
      </c>
      <c r="P77" s="1" t="s">
        <v>49</v>
      </c>
      <c r="Q77" s="1" t="s">
        <v>50</v>
      </c>
      <c r="R77" s="1" t="s">
        <v>49</v>
      </c>
      <c r="S77" s="1" t="s">
        <v>51</v>
      </c>
      <c r="T77" s="1" t="s">
        <v>52</v>
      </c>
      <c r="U77" s="1" t="s">
        <v>115</v>
      </c>
      <c r="V77" s="1" t="s">
        <v>394</v>
      </c>
      <c r="X77" s="1">
        <v>505.53</v>
      </c>
      <c r="Y77" s="1" t="s">
        <v>117</v>
      </c>
      <c r="AA77" s="1" t="s">
        <v>399</v>
      </c>
      <c r="AB77" s="1" t="s">
        <v>119</v>
      </c>
      <c r="AC77" s="1">
        <v>1</v>
      </c>
      <c r="AD77" s="1" t="s">
        <v>120</v>
      </c>
      <c r="AE77" s="1" t="s">
        <v>49</v>
      </c>
      <c r="AF77" s="1" t="s">
        <v>50</v>
      </c>
      <c r="AG77" s="1" t="str">
        <f>"8716200000 "</f>
        <v xml:space="preserve">8716200000 </v>
      </c>
      <c r="AH77" s="1">
        <v>12000</v>
      </c>
      <c r="AI77" s="1">
        <v>12000</v>
      </c>
      <c r="AJ77" s="1">
        <v>15250</v>
      </c>
      <c r="AK77" s="1">
        <v>7761404.2599999998</v>
      </c>
      <c r="AL77" s="1">
        <v>15353</v>
      </c>
      <c r="AM77" s="1">
        <v>31</v>
      </c>
      <c r="AN77" s="1" t="s">
        <v>60</v>
      </c>
      <c r="AO77" s="1">
        <v>31</v>
      </c>
      <c r="AP77" s="1" t="s">
        <v>60</v>
      </c>
    </row>
    <row r="78" spans="1:42" x14ac:dyDescent="0.25">
      <c r="A78" s="1" t="s">
        <v>388</v>
      </c>
      <c r="B78" s="1" t="s">
        <v>400</v>
      </c>
      <c r="C78" s="2">
        <v>46027</v>
      </c>
      <c r="D78" s="1">
        <v>39855411</v>
      </c>
      <c r="F78" s="1" t="s">
        <v>44</v>
      </c>
      <c r="G78" s="1">
        <v>40</v>
      </c>
      <c r="H78" s="1" t="s">
        <v>390</v>
      </c>
      <c r="I78" s="1" t="s">
        <v>391</v>
      </c>
      <c r="J78" s="1" t="s">
        <v>392</v>
      </c>
      <c r="K78" s="1" t="s">
        <v>393</v>
      </c>
      <c r="L78" s="1" t="str">
        <f>"240640015850 "</f>
        <v xml:space="preserve">240640015850 </v>
      </c>
      <c r="N78" s="1" t="s">
        <v>49</v>
      </c>
      <c r="O78" s="1" t="s">
        <v>50</v>
      </c>
      <c r="P78" s="1" t="s">
        <v>49</v>
      </c>
      <c r="Q78" s="1" t="s">
        <v>50</v>
      </c>
      <c r="R78" s="1" t="s">
        <v>49</v>
      </c>
      <c r="S78" s="1" t="s">
        <v>51</v>
      </c>
      <c r="T78" s="1" t="s">
        <v>52</v>
      </c>
      <c r="U78" s="1" t="s">
        <v>115</v>
      </c>
      <c r="V78" s="1" t="s">
        <v>394</v>
      </c>
      <c r="X78" s="1">
        <v>505.53</v>
      </c>
      <c r="Y78" s="1" t="s">
        <v>117</v>
      </c>
      <c r="AA78" s="1" t="s">
        <v>401</v>
      </c>
      <c r="AB78" s="1" t="s">
        <v>119</v>
      </c>
      <c r="AC78" s="1">
        <v>1</v>
      </c>
      <c r="AD78" s="1" t="s">
        <v>120</v>
      </c>
      <c r="AE78" s="1" t="s">
        <v>49</v>
      </c>
      <c r="AF78" s="1" t="s">
        <v>50</v>
      </c>
      <c r="AG78" s="1" t="str">
        <f>"8716200000 "</f>
        <v xml:space="preserve">8716200000 </v>
      </c>
      <c r="AH78" s="1">
        <v>12000</v>
      </c>
      <c r="AI78" s="1">
        <v>12000</v>
      </c>
      <c r="AJ78" s="1">
        <v>15250</v>
      </c>
      <c r="AK78" s="1">
        <v>7761404.2599999998</v>
      </c>
      <c r="AL78" s="1">
        <v>15353</v>
      </c>
      <c r="AM78" s="1">
        <v>31</v>
      </c>
      <c r="AN78" s="1" t="s">
        <v>60</v>
      </c>
      <c r="AO78" s="1">
        <v>31</v>
      </c>
      <c r="AP78" s="1" t="s">
        <v>60</v>
      </c>
    </row>
    <row r="79" spans="1:42" x14ac:dyDescent="0.25">
      <c r="A79" s="1" t="s">
        <v>402</v>
      </c>
      <c r="B79" s="1" t="s">
        <v>403</v>
      </c>
      <c r="C79" s="2">
        <v>46027</v>
      </c>
      <c r="D79" s="1">
        <v>39855411</v>
      </c>
      <c r="F79" s="1" t="s">
        <v>44</v>
      </c>
      <c r="G79" s="1">
        <v>40</v>
      </c>
      <c r="H79" s="1" t="s">
        <v>390</v>
      </c>
      <c r="I79" s="1" t="s">
        <v>391</v>
      </c>
      <c r="J79" s="1" t="s">
        <v>392</v>
      </c>
      <c r="K79" s="1" t="s">
        <v>393</v>
      </c>
      <c r="L79" s="1" t="str">
        <f>"240640015850 "</f>
        <v xml:space="preserve">240640015850 </v>
      </c>
      <c r="N79" s="1" t="s">
        <v>49</v>
      </c>
      <c r="O79" s="1" t="s">
        <v>50</v>
      </c>
      <c r="P79" s="1" t="s">
        <v>49</v>
      </c>
      <c r="Q79" s="1" t="s">
        <v>50</v>
      </c>
      <c r="R79" s="1" t="s">
        <v>49</v>
      </c>
      <c r="S79" s="1" t="s">
        <v>51</v>
      </c>
      <c r="T79" s="1" t="s">
        <v>52</v>
      </c>
      <c r="U79" s="1" t="s">
        <v>115</v>
      </c>
      <c r="V79" s="1" t="s">
        <v>394</v>
      </c>
      <c r="X79" s="1">
        <v>505.53</v>
      </c>
      <c r="Y79" s="1" t="s">
        <v>117</v>
      </c>
      <c r="AA79" s="1" t="s">
        <v>404</v>
      </c>
      <c r="AB79" s="1" t="s">
        <v>119</v>
      </c>
      <c r="AC79" s="1">
        <v>1</v>
      </c>
      <c r="AD79" s="1" t="s">
        <v>120</v>
      </c>
      <c r="AE79" s="1" t="s">
        <v>49</v>
      </c>
      <c r="AF79" s="1" t="s">
        <v>50</v>
      </c>
      <c r="AG79" s="1" t="str">
        <f>"8716200000 "</f>
        <v xml:space="preserve">8716200000 </v>
      </c>
      <c r="AH79" s="1">
        <v>11000</v>
      </c>
      <c r="AI79" s="1">
        <v>11000</v>
      </c>
      <c r="AJ79" s="1">
        <v>14900</v>
      </c>
      <c r="AK79" s="1">
        <v>7582950</v>
      </c>
      <c r="AL79" s="1">
        <v>15000</v>
      </c>
      <c r="AM79" s="1">
        <v>31</v>
      </c>
      <c r="AN79" s="1" t="s">
        <v>60</v>
      </c>
      <c r="AO79" s="1">
        <v>31</v>
      </c>
      <c r="AP79" s="1" t="s">
        <v>60</v>
      </c>
    </row>
    <row r="80" spans="1:42" x14ac:dyDescent="0.25">
      <c r="A80" s="1" t="s">
        <v>405</v>
      </c>
      <c r="B80" s="1" t="s">
        <v>406</v>
      </c>
      <c r="C80" s="2">
        <v>46027</v>
      </c>
      <c r="D80" s="1">
        <v>39855411</v>
      </c>
      <c r="F80" s="1" t="s">
        <v>44</v>
      </c>
      <c r="G80" s="1">
        <v>70</v>
      </c>
      <c r="H80" s="1" t="s">
        <v>407</v>
      </c>
      <c r="I80" s="1" t="s">
        <v>408</v>
      </c>
      <c r="J80" s="1" t="s">
        <v>409</v>
      </c>
      <c r="K80" s="1" t="s">
        <v>410</v>
      </c>
      <c r="L80" s="1" t="str">
        <f t="shared" ref="L80:L85" si="5">"220540010911 "</f>
        <v xml:space="preserve">220540010911 </v>
      </c>
      <c r="N80" s="1" t="s">
        <v>411</v>
      </c>
      <c r="O80" s="1" t="s">
        <v>412</v>
      </c>
      <c r="P80" s="1" t="s">
        <v>49</v>
      </c>
      <c r="Q80" s="1" t="s">
        <v>50</v>
      </c>
      <c r="R80" s="1" t="s">
        <v>49</v>
      </c>
      <c r="S80" s="1" t="s">
        <v>51</v>
      </c>
      <c r="T80" s="1" t="s">
        <v>52</v>
      </c>
      <c r="U80" s="1" t="s">
        <v>69</v>
      </c>
      <c r="V80" s="1" t="s">
        <v>413</v>
      </c>
      <c r="X80" s="1">
        <v>505.53</v>
      </c>
      <c r="Y80" s="1" t="s">
        <v>414</v>
      </c>
      <c r="Z80" s="1" t="s">
        <v>415</v>
      </c>
      <c r="AA80" s="1" t="s">
        <v>416</v>
      </c>
      <c r="AB80" s="1" t="s">
        <v>417</v>
      </c>
      <c r="AC80" s="1">
        <f>0</f>
        <v>0</v>
      </c>
      <c r="AE80" s="1" t="s">
        <v>49</v>
      </c>
      <c r="AF80" s="1" t="s">
        <v>50</v>
      </c>
      <c r="AG80" s="1" t="str">
        <f t="shared" ref="AG80:AG85" si="6">"9503003500 "</f>
        <v xml:space="preserve">9503003500 </v>
      </c>
      <c r="AH80" s="1">
        <v>474.1</v>
      </c>
      <c r="AI80" s="1">
        <v>419.1</v>
      </c>
      <c r="AJ80" s="1">
        <v>9939.6</v>
      </c>
      <c r="AK80" s="1">
        <f>0</f>
        <v>0</v>
      </c>
      <c r="AL80" s="1">
        <v>10655.92</v>
      </c>
      <c r="AM80" s="1">
        <v>20</v>
      </c>
      <c r="AN80" s="1" t="s">
        <v>75</v>
      </c>
      <c r="AO80" s="1">
        <v>20</v>
      </c>
      <c r="AP80" s="1" t="s">
        <v>75</v>
      </c>
    </row>
    <row r="81" spans="1:42" x14ac:dyDescent="0.25">
      <c r="A81" s="1" t="s">
        <v>405</v>
      </c>
      <c r="B81" s="1" t="s">
        <v>418</v>
      </c>
      <c r="C81" s="2">
        <v>46027</v>
      </c>
      <c r="D81" s="1">
        <v>39855411</v>
      </c>
      <c r="F81" s="1" t="s">
        <v>44</v>
      </c>
      <c r="G81" s="1">
        <v>70</v>
      </c>
      <c r="H81" s="1" t="s">
        <v>407</v>
      </c>
      <c r="I81" s="1" t="s">
        <v>408</v>
      </c>
      <c r="J81" s="1" t="s">
        <v>409</v>
      </c>
      <c r="K81" s="1" t="s">
        <v>410</v>
      </c>
      <c r="L81" s="1" t="str">
        <f t="shared" si="5"/>
        <v xml:space="preserve">220540010911 </v>
      </c>
      <c r="N81" s="1" t="s">
        <v>411</v>
      </c>
      <c r="O81" s="1" t="s">
        <v>412</v>
      </c>
      <c r="P81" s="1" t="s">
        <v>49</v>
      </c>
      <c r="Q81" s="1" t="s">
        <v>50</v>
      </c>
      <c r="R81" s="1" t="s">
        <v>49</v>
      </c>
      <c r="S81" s="1" t="s">
        <v>51</v>
      </c>
      <c r="T81" s="1" t="s">
        <v>52</v>
      </c>
      <c r="U81" s="1" t="s">
        <v>69</v>
      </c>
      <c r="V81" s="1" t="s">
        <v>413</v>
      </c>
      <c r="X81" s="1">
        <v>505.53</v>
      </c>
      <c r="Y81" s="1" t="s">
        <v>414</v>
      </c>
      <c r="Z81" s="1" t="s">
        <v>415</v>
      </c>
      <c r="AA81" s="1" t="s">
        <v>419</v>
      </c>
      <c r="AB81" s="1" t="s">
        <v>420</v>
      </c>
      <c r="AC81" s="1">
        <f>0</f>
        <v>0</v>
      </c>
      <c r="AE81" s="1" t="s">
        <v>49</v>
      </c>
      <c r="AF81" s="1" t="s">
        <v>50</v>
      </c>
      <c r="AG81" s="1" t="str">
        <f t="shared" si="6"/>
        <v xml:space="preserve">9503003500 </v>
      </c>
      <c r="AH81" s="1">
        <v>773.5</v>
      </c>
      <c r="AI81" s="1">
        <v>731</v>
      </c>
      <c r="AJ81" s="1">
        <v>13341.6</v>
      </c>
      <c r="AK81" s="1">
        <f>0</f>
        <v>0</v>
      </c>
      <c r="AL81" s="1">
        <v>14507.84</v>
      </c>
      <c r="AM81" s="1">
        <v>20</v>
      </c>
      <c r="AN81" s="1" t="s">
        <v>75</v>
      </c>
      <c r="AO81" s="1">
        <v>20</v>
      </c>
      <c r="AP81" s="1" t="s">
        <v>75</v>
      </c>
    </row>
    <row r="82" spans="1:42" x14ac:dyDescent="0.25">
      <c r="A82" s="1" t="s">
        <v>405</v>
      </c>
      <c r="B82" s="1" t="s">
        <v>421</v>
      </c>
      <c r="C82" s="2">
        <v>46027</v>
      </c>
      <c r="D82" s="1">
        <v>39855411</v>
      </c>
      <c r="F82" s="1" t="s">
        <v>44</v>
      </c>
      <c r="G82" s="1">
        <v>70</v>
      </c>
      <c r="H82" s="1" t="s">
        <v>407</v>
      </c>
      <c r="I82" s="1" t="s">
        <v>408</v>
      </c>
      <c r="J82" s="1" t="s">
        <v>409</v>
      </c>
      <c r="K82" s="1" t="s">
        <v>410</v>
      </c>
      <c r="L82" s="1" t="str">
        <f t="shared" si="5"/>
        <v xml:space="preserve">220540010911 </v>
      </c>
      <c r="N82" s="1" t="s">
        <v>411</v>
      </c>
      <c r="O82" s="1" t="s">
        <v>412</v>
      </c>
      <c r="P82" s="1" t="s">
        <v>49</v>
      </c>
      <c r="Q82" s="1" t="s">
        <v>50</v>
      </c>
      <c r="R82" s="1" t="s">
        <v>49</v>
      </c>
      <c r="S82" s="1" t="s">
        <v>51</v>
      </c>
      <c r="T82" s="1" t="s">
        <v>52</v>
      </c>
      <c r="U82" s="1" t="s">
        <v>69</v>
      </c>
      <c r="V82" s="1" t="s">
        <v>413</v>
      </c>
      <c r="X82" s="1">
        <v>505.53</v>
      </c>
      <c r="Y82" s="1" t="s">
        <v>414</v>
      </c>
      <c r="Z82" s="1" t="s">
        <v>415</v>
      </c>
      <c r="AA82" s="1" t="s">
        <v>422</v>
      </c>
      <c r="AB82" s="1" t="s">
        <v>420</v>
      </c>
      <c r="AC82" s="1">
        <f>0</f>
        <v>0</v>
      </c>
      <c r="AE82" s="1" t="s">
        <v>49</v>
      </c>
      <c r="AF82" s="1" t="s">
        <v>50</v>
      </c>
      <c r="AG82" s="1" t="str">
        <f t="shared" si="6"/>
        <v xml:space="preserve">9503003500 </v>
      </c>
      <c r="AH82" s="1">
        <v>527</v>
      </c>
      <c r="AI82" s="1">
        <v>484.5</v>
      </c>
      <c r="AJ82" s="1">
        <v>9057.6</v>
      </c>
      <c r="AK82" s="1">
        <f>0</f>
        <v>0</v>
      </c>
      <c r="AL82" s="1">
        <v>9852.15</v>
      </c>
      <c r="AM82" s="1">
        <v>20</v>
      </c>
      <c r="AN82" s="1" t="s">
        <v>75</v>
      </c>
      <c r="AO82" s="1">
        <v>20</v>
      </c>
      <c r="AP82" s="1" t="s">
        <v>75</v>
      </c>
    </row>
    <row r="83" spans="1:42" x14ac:dyDescent="0.25">
      <c r="A83" s="1" t="s">
        <v>405</v>
      </c>
      <c r="B83" s="1" t="s">
        <v>423</v>
      </c>
      <c r="C83" s="2">
        <v>46027</v>
      </c>
      <c r="D83" s="1">
        <v>39855411</v>
      </c>
      <c r="F83" s="1" t="s">
        <v>44</v>
      </c>
      <c r="G83" s="1">
        <v>70</v>
      </c>
      <c r="H83" s="1" t="s">
        <v>407</v>
      </c>
      <c r="I83" s="1" t="s">
        <v>408</v>
      </c>
      <c r="J83" s="1" t="s">
        <v>409</v>
      </c>
      <c r="K83" s="1" t="s">
        <v>410</v>
      </c>
      <c r="L83" s="1" t="str">
        <f t="shared" si="5"/>
        <v xml:space="preserve">220540010911 </v>
      </c>
      <c r="N83" s="1" t="s">
        <v>411</v>
      </c>
      <c r="O83" s="1" t="s">
        <v>412</v>
      </c>
      <c r="P83" s="1" t="s">
        <v>49</v>
      </c>
      <c r="Q83" s="1" t="s">
        <v>50</v>
      </c>
      <c r="R83" s="1" t="s">
        <v>49</v>
      </c>
      <c r="S83" s="1" t="s">
        <v>51</v>
      </c>
      <c r="T83" s="1" t="s">
        <v>52</v>
      </c>
      <c r="U83" s="1" t="s">
        <v>69</v>
      </c>
      <c r="V83" s="1" t="s">
        <v>413</v>
      </c>
      <c r="X83" s="1">
        <v>505.53</v>
      </c>
      <c r="Y83" s="1" t="s">
        <v>414</v>
      </c>
      <c r="Z83" s="1" t="s">
        <v>415</v>
      </c>
      <c r="AA83" s="1" t="s">
        <v>424</v>
      </c>
      <c r="AB83" s="1" t="s">
        <v>425</v>
      </c>
      <c r="AC83" s="1">
        <f>0</f>
        <v>0</v>
      </c>
      <c r="AE83" s="1" t="s">
        <v>49</v>
      </c>
      <c r="AF83" s="1" t="s">
        <v>50</v>
      </c>
      <c r="AG83" s="1" t="str">
        <f t="shared" si="6"/>
        <v xml:space="preserve">9503003500 </v>
      </c>
      <c r="AH83" s="1">
        <v>545.6</v>
      </c>
      <c r="AI83" s="1">
        <v>390.6</v>
      </c>
      <c r="AJ83" s="1">
        <v>8928</v>
      </c>
      <c r="AK83" s="1">
        <f>0</f>
        <v>0</v>
      </c>
      <c r="AL83" s="1">
        <v>9750.2099999999991</v>
      </c>
      <c r="AM83" s="1">
        <v>20</v>
      </c>
      <c r="AN83" s="1" t="s">
        <v>75</v>
      </c>
      <c r="AO83" s="1">
        <v>20</v>
      </c>
      <c r="AP83" s="1" t="s">
        <v>75</v>
      </c>
    </row>
    <row r="84" spans="1:42" x14ac:dyDescent="0.25">
      <c r="A84" s="1" t="s">
        <v>405</v>
      </c>
      <c r="B84" s="1" t="s">
        <v>426</v>
      </c>
      <c r="C84" s="2">
        <v>46027</v>
      </c>
      <c r="D84" s="1">
        <v>39855411</v>
      </c>
      <c r="F84" s="1" t="s">
        <v>44</v>
      </c>
      <c r="G84" s="1">
        <v>70</v>
      </c>
      <c r="H84" s="1" t="s">
        <v>407</v>
      </c>
      <c r="I84" s="1" t="s">
        <v>408</v>
      </c>
      <c r="J84" s="1" t="s">
        <v>409</v>
      </c>
      <c r="K84" s="1" t="s">
        <v>410</v>
      </c>
      <c r="L84" s="1" t="str">
        <f t="shared" si="5"/>
        <v xml:space="preserve">220540010911 </v>
      </c>
      <c r="N84" s="1" t="s">
        <v>411</v>
      </c>
      <c r="O84" s="1" t="s">
        <v>412</v>
      </c>
      <c r="P84" s="1" t="s">
        <v>49</v>
      </c>
      <c r="Q84" s="1" t="s">
        <v>50</v>
      </c>
      <c r="R84" s="1" t="s">
        <v>49</v>
      </c>
      <c r="S84" s="1" t="s">
        <v>51</v>
      </c>
      <c r="T84" s="1" t="s">
        <v>52</v>
      </c>
      <c r="U84" s="1" t="s">
        <v>69</v>
      </c>
      <c r="V84" s="1" t="s">
        <v>413</v>
      </c>
      <c r="X84" s="1">
        <v>505.53</v>
      </c>
      <c r="Y84" s="1" t="s">
        <v>414</v>
      </c>
      <c r="Z84" s="1" t="s">
        <v>415</v>
      </c>
      <c r="AA84" s="1" t="s">
        <v>427</v>
      </c>
      <c r="AB84" s="1" t="s">
        <v>425</v>
      </c>
      <c r="AC84" s="1">
        <f>0</f>
        <v>0</v>
      </c>
      <c r="AE84" s="1" t="s">
        <v>49</v>
      </c>
      <c r="AF84" s="1" t="s">
        <v>50</v>
      </c>
      <c r="AG84" s="1" t="str">
        <f t="shared" si="6"/>
        <v xml:space="preserve">9503003500 </v>
      </c>
      <c r="AH84" s="1">
        <v>564.20000000000005</v>
      </c>
      <c r="AI84" s="1">
        <v>409.2</v>
      </c>
      <c r="AJ84" s="1">
        <v>10657.8</v>
      </c>
      <c r="AK84" s="1">
        <f>0</f>
        <v>0</v>
      </c>
      <c r="AL84" s="1">
        <v>11509.26</v>
      </c>
      <c r="AM84" s="1">
        <v>20</v>
      </c>
      <c r="AN84" s="1" t="s">
        <v>75</v>
      </c>
      <c r="AO84" s="1">
        <v>20</v>
      </c>
      <c r="AP84" s="1" t="s">
        <v>75</v>
      </c>
    </row>
    <row r="85" spans="1:42" x14ac:dyDescent="0.25">
      <c r="A85" s="1" t="s">
        <v>405</v>
      </c>
      <c r="B85" s="1" t="s">
        <v>428</v>
      </c>
      <c r="C85" s="2">
        <v>46027</v>
      </c>
      <c r="D85" s="1">
        <v>39855411</v>
      </c>
      <c r="F85" s="1" t="s">
        <v>44</v>
      </c>
      <c r="G85" s="1">
        <v>70</v>
      </c>
      <c r="H85" s="1" t="s">
        <v>407</v>
      </c>
      <c r="I85" s="1" t="s">
        <v>408</v>
      </c>
      <c r="J85" s="1" t="s">
        <v>409</v>
      </c>
      <c r="K85" s="1" t="s">
        <v>410</v>
      </c>
      <c r="L85" s="1" t="str">
        <f t="shared" si="5"/>
        <v xml:space="preserve">220540010911 </v>
      </c>
      <c r="N85" s="1" t="s">
        <v>411</v>
      </c>
      <c r="O85" s="1" t="s">
        <v>412</v>
      </c>
      <c r="P85" s="1" t="s">
        <v>49</v>
      </c>
      <c r="Q85" s="1" t="s">
        <v>50</v>
      </c>
      <c r="R85" s="1" t="s">
        <v>49</v>
      </c>
      <c r="S85" s="1" t="s">
        <v>51</v>
      </c>
      <c r="T85" s="1" t="s">
        <v>52</v>
      </c>
      <c r="U85" s="1" t="s">
        <v>69</v>
      </c>
      <c r="V85" s="1" t="s">
        <v>413</v>
      </c>
      <c r="X85" s="1">
        <v>505.53</v>
      </c>
      <c r="Y85" s="1" t="s">
        <v>414</v>
      </c>
      <c r="Z85" s="1" t="s">
        <v>415</v>
      </c>
      <c r="AA85" s="1" t="s">
        <v>429</v>
      </c>
      <c r="AB85" s="1" t="s">
        <v>430</v>
      </c>
      <c r="AC85" s="1">
        <f>0</f>
        <v>0</v>
      </c>
      <c r="AE85" s="1" t="s">
        <v>49</v>
      </c>
      <c r="AF85" s="1" t="s">
        <v>50</v>
      </c>
      <c r="AG85" s="1" t="str">
        <f t="shared" si="6"/>
        <v xml:space="preserve">9503003500 </v>
      </c>
      <c r="AH85" s="1">
        <v>509.6</v>
      </c>
      <c r="AI85" s="1">
        <v>369.6</v>
      </c>
      <c r="AJ85" s="1">
        <v>9626.4</v>
      </c>
      <c r="AK85" s="1">
        <f>0</f>
        <v>0</v>
      </c>
      <c r="AL85" s="1">
        <v>10395.459999999999</v>
      </c>
      <c r="AM85" s="1">
        <v>20</v>
      </c>
      <c r="AN85" s="1" t="s">
        <v>75</v>
      </c>
      <c r="AO85" s="1">
        <v>20</v>
      </c>
      <c r="AP85" s="1" t="s">
        <v>75</v>
      </c>
    </row>
    <row r="86" spans="1:42" x14ac:dyDescent="0.25">
      <c r="A86" s="1" t="s">
        <v>402</v>
      </c>
      <c r="B86" s="1" t="s">
        <v>431</v>
      </c>
      <c r="C86" s="2">
        <v>46027</v>
      </c>
      <c r="D86" s="1">
        <v>39855411</v>
      </c>
      <c r="F86" s="1" t="s">
        <v>44</v>
      </c>
      <c r="G86" s="1">
        <v>40</v>
      </c>
      <c r="H86" s="1" t="s">
        <v>390</v>
      </c>
      <c r="I86" s="1" t="s">
        <v>391</v>
      </c>
      <c r="J86" s="1" t="s">
        <v>392</v>
      </c>
      <c r="K86" s="1" t="s">
        <v>393</v>
      </c>
      <c r="L86" s="1" t="str">
        <f>"240640015850 "</f>
        <v xml:space="preserve">240640015850 </v>
      </c>
      <c r="N86" s="1" t="s">
        <v>49</v>
      </c>
      <c r="O86" s="1" t="s">
        <v>50</v>
      </c>
      <c r="P86" s="1" t="s">
        <v>49</v>
      </c>
      <c r="Q86" s="1" t="s">
        <v>50</v>
      </c>
      <c r="R86" s="1" t="s">
        <v>49</v>
      </c>
      <c r="S86" s="1" t="s">
        <v>51</v>
      </c>
      <c r="T86" s="1" t="s">
        <v>52</v>
      </c>
      <c r="U86" s="1" t="s">
        <v>115</v>
      </c>
      <c r="V86" s="1" t="s">
        <v>394</v>
      </c>
      <c r="X86" s="1">
        <v>505.53</v>
      </c>
      <c r="Y86" s="1" t="s">
        <v>117</v>
      </c>
      <c r="AA86" s="1" t="s">
        <v>432</v>
      </c>
      <c r="AB86" s="1" t="s">
        <v>119</v>
      </c>
      <c r="AC86" s="1">
        <v>1</v>
      </c>
      <c r="AD86" s="1" t="s">
        <v>120</v>
      </c>
      <c r="AE86" s="1" t="s">
        <v>49</v>
      </c>
      <c r="AF86" s="1" t="s">
        <v>50</v>
      </c>
      <c r="AG86" s="1" t="str">
        <f>"8716200000 "</f>
        <v xml:space="preserve">8716200000 </v>
      </c>
      <c r="AH86" s="1">
        <v>11000</v>
      </c>
      <c r="AI86" s="1">
        <v>11000</v>
      </c>
      <c r="AJ86" s="1">
        <v>14900</v>
      </c>
      <c r="AK86" s="1">
        <v>7582950</v>
      </c>
      <c r="AL86" s="1">
        <v>15000</v>
      </c>
      <c r="AM86" s="1">
        <v>31</v>
      </c>
      <c r="AN86" s="1" t="s">
        <v>60</v>
      </c>
      <c r="AO86" s="1">
        <v>31</v>
      </c>
      <c r="AP86" s="1" t="s">
        <v>60</v>
      </c>
    </row>
    <row r="87" spans="1:42" x14ac:dyDescent="0.25">
      <c r="A87" s="1" t="s">
        <v>402</v>
      </c>
      <c r="B87" s="1" t="s">
        <v>433</v>
      </c>
      <c r="C87" s="2">
        <v>46027</v>
      </c>
      <c r="D87" s="1">
        <v>39855411</v>
      </c>
      <c r="F87" s="1" t="s">
        <v>44</v>
      </c>
      <c r="G87" s="1">
        <v>40</v>
      </c>
      <c r="H87" s="1" t="s">
        <v>390</v>
      </c>
      <c r="I87" s="1" t="s">
        <v>391</v>
      </c>
      <c r="J87" s="1" t="s">
        <v>392</v>
      </c>
      <c r="K87" s="1" t="s">
        <v>393</v>
      </c>
      <c r="L87" s="1" t="str">
        <f>"240640015850 "</f>
        <v xml:space="preserve">240640015850 </v>
      </c>
      <c r="N87" s="1" t="s">
        <v>49</v>
      </c>
      <c r="O87" s="1" t="s">
        <v>50</v>
      </c>
      <c r="P87" s="1" t="s">
        <v>49</v>
      </c>
      <c r="Q87" s="1" t="s">
        <v>50</v>
      </c>
      <c r="R87" s="1" t="s">
        <v>49</v>
      </c>
      <c r="S87" s="1" t="s">
        <v>51</v>
      </c>
      <c r="T87" s="1" t="s">
        <v>52</v>
      </c>
      <c r="U87" s="1" t="s">
        <v>115</v>
      </c>
      <c r="V87" s="1" t="s">
        <v>394</v>
      </c>
      <c r="X87" s="1">
        <v>505.53</v>
      </c>
      <c r="Y87" s="1" t="s">
        <v>117</v>
      </c>
      <c r="AA87" s="1" t="s">
        <v>434</v>
      </c>
      <c r="AB87" s="1" t="s">
        <v>119</v>
      </c>
      <c r="AC87" s="1">
        <v>1</v>
      </c>
      <c r="AD87" s="1" t="s">
        <v>120</v>
      </c>
      <c r="AE87" s="1" t="s">
        <v>49</v>
      </c>
      <c r="AF87" s="1" t="s">
        <v>50</v>
      </c>
      <c r="AG87" s="1" t="str">
        <f>"8716200000 "</f>
        <v xml:space="preserve">8716200000 </v>
      </c>
      <c r="AH87" s="1">
        <v>11000</v>
      </c>
      <c r="AI87" s="1">
        <v>11000</v>
      </c>
      <c r="AJ87" s="1">
        <v>14900</v>
      </c>
      <c r="AK87" s="1">
        <v>7582950</v>
      </c>
      <c r="AL87" s="1">
        <v>15000</v>
      </c>
      <c r="AM87" s="1">
        <v>31</v>
      </c>
      <c r="AN87" s="1" t="s">
        <v>60</v>
      </c>
      <c r="AO87" s="1">
        <v>31</v>
      </c>
      <c r="AP87" s="1" t="s">
        <v>60</v>
      </c>
    </row>
    <row r="88" spans="1:42" x14ac:dyDescent="0.25">
      <c r="A88" s="1" t="s">
        <v>402</v>
      </c>
      <c r="B88" s="1" t="s">
        <v>435</v>
      </c>
      <c r="C88" s="2">
        <v>46027</v>
      </c>
      <c r="D88" s="1">
        <v>39855411</v>
      </c>
      <c r="F88" s="1" t="s">
        <v>44</v>
      </c>
      <c r="G88" s="1">
        <v>40</v>
      </c>
      <c r="H88" s="1" t="s">
        <v>390</v>
      </c>
      <c r="I88" s="1" t="s">
        <v>391</v>
      </c>
      <c r="J88" s="1" t="s">
        <v>392</v>
      </c>
      <c r="K88" s="1" t="s">
        <v>393</v>
      </c>
      <c r="L88" s="1" t="str">
        <f>"240640015850 "</f>
        <v xml:space="preserve">240640015850 </v>
      </c>
      <c r="N88" s="1" t="s">
        <v>49</v>
      </c>
      <c r="O88" s="1" t="s">
        <v>50</v>
      </c>
      <c r="P88" s="1" t="s">
        <v>49</v>
      </c>
      <c r="Q88" s="1" t="s">
        <v>50</v>
      </c>
      <c r="R88" s="1" t="s">
        <v>49</v>
      </c>
      <c r="S88" s="1" t="s">
        <v>51</v>
      </c>
      <c r="T88" s="1" t="s">
        <v>52</v>
      </c>
      <c r="U88" s="1" t="s">
        <v>115</v>
      </c>
      <c r="V88" s="1" t="s">
        <v>394</v>
      </c>
      <c r="X88" s="1">
        <v>505.53</v>
      </c>
      <c r="Y88" s="1" t="s">
        <v>117</v>
      </c>
      <c r="AA88" s="1" t="s">
        <v>436</v>
      </c>
      <c r="AB88" s="1" t="s">
        <v>119</v>
      </c>
      <c r="AC88" s="1">
        <v>1</v>
      </c>
      <c r="AD88" s="1" t="s">
        <v>120</v>
      </c>
      <c r="AE88" s="1" t="s">
        <v>49</v>
      </c>
      <c r="AF88" s="1" t="s">
        <v>50</v>
      </c>
      <c r="AG88" s="1" t="str">
        <f>"8716200000 "</f>
        <v xml:space="preserve">8716200000 </v>
      </c>
      <c r="AH88" s="1">
        <v>11000</v>
      </c>
      <c r="AI88" s="1">
        <v>11000</v>
      </c>
      <c r="AJ88" s="1">
        <v>14900</v>
      </c>
      <c r="AK88" s="1">
        <v>7582950</v>
      </c>
      <c r="AL88" s="1">
        <v>15000</v>
      </c>
      <c r="AM88" s="1">
        <v>31</v>
      </c>
      <c r="AN88" s="1" t="s">
        <v>60</v>
      </c>
      <c r="AO88" s="1">
        <v>31</v>
      </c>
      <c r="AP88" s="1" t="s">
        <v>60</v>
      </c>
    </row>
    <row r="89" spans="1:42" x14ac:dyDescent="0.25">
      <c r="A89" s="1" t="s">
        <v>437</v>
      </c>
      <c r="B89" s="1" t="s">
        <v>438</v>
      </c>
      <c r="C89" s="2">
        <v>46027</v>
      </c>
      <c r="D89" s="1">
        <v>39855411</v>
      </c>
      <c r="F89" s="1" t="s">
        <v>44</v>
      </c>
      <c r="G89" s="1">
        <v>40</v>
      </c>
      <c r="H89" s="1" t="s">
        <v>439</v>
      </c>
      <c r="I89" s="1" t="s">
        <v>440</v>
      </c>
      <c r="J89" s="1" t="s">
        <v>441</v>
      </c>
      <c r="K89" s="1" t="s">
        <v>442</v>
      </c>
      <c r="L89" s="1" t="str">
        <f>"230840030909 "</f>
        <v xml:space="preserve">230840030909 </v>
      </c>
      <c r="N89" s="1" t="s">
        <v>49</v>
      </c>
      <c r="O89" s="1" t="s">
        <v>50</v>
      </c>
      <c r="P89" s="1" t="s">
        <v>49</v>
      </c>
      <c r="Q89" s="1" t="s">
        <v>50</v>
      </c>
      <c r="R89" s="1" t="s">
        <v>49</v>
      </c>
      <c r="S89" s="1" t="s">
        <v>51</v>
      </c>
      <c r="T89" s="1" t="s">
        <v>52</v>
      </c>
      <c r="U89" s="1" t="s">
        <v>69</v>
      </c>
      <c r="V89" s="1" t="s">
        <v>443</v>
      </c>
      <c r="X89" s="1">
        <v>505.53</v>
      </c>
      <c r="Y89" s="1" t="s">
        <v>444</v>
      </c>
      <c r="Z89" s="1" t="s">
        <v>445</v>
      </c>
      <c r="AC89" s="1">
        <f>0</f>
        <v>0</v>
      </c>
      <c r="AE89" s="1" t="s">
        <v>49</v>
      </c>
      <c r="AF89" s="1" t="s">
        <v>50</v>
      </c>
      <c r="AG89" s="1" t="str">
        <f>"3924900009 "</f>
        <v xml:space="preserve">3924900009 </v>
      </c>
      <c r="AH89" s="1">
        <v>473.68</v>
      </c>
      <c r="AI89" s="1">
        <v>396.8</v>
      </c>
      <c r="AJ89" s="1">
        <v>2277.63</v>
      </c>
      <c r="AK89" s="1">
        <v>1498928.65</v>
      </c>
      <c r="AL89" s="1">
        <v>2965.06</v>
      </c>
      <c r="AM89" s="1">
        <v>31</v>
      </c>
      <c r="AN89" s="1" t="s">
        <v>60</v>
      </c>
      <c r="AO89" s="1">
        <v>31</v>
      </c>
      <c r="AP89" s="1" t="s">
        <v>60</v>
      </c>
    </row>
    <row r="90" spans="1:42" x14ac:dyDescent="0.25">
      <c r="A90" s="1" t="s">
        <v>437</v>
      </c>
      <c r="B90" s="1" t="s">
        <v>446</v>
      </c>
      <c r="C90" s="2">
        <v>46027</v>
      </c>
      <c r="D90" s="1">
        <v>39855411</v>
      </c>
      <c r="F90" s="1" t="s">
        <v>44</v>
      </c>
      <c r="G90" s="1">
        <v>40</v>
      </c>
      <c r="H90" s="1" t="s">
        <v>439</v>
      </c>
      <c r="I90" s="1" t="s">
        <v>440</v>
      </c>
      <c r="J90" s="1" t="s">
        <v>441</v>
      </c>
      <c r="K90" s="1" t="s">
        <v>442</v>
      </c>
      <c r="L90" s="1" t="str">
        <f>"230840030909 "</f>
        <v xml:space="preserve">230840030909 </v>
      </c>
      <c r="N90" s="1" t="s">
        <v>49</v>
      </c>
      <c r="O90" s="1" t="s">
        <v>50</v>
      </c>
      <c r="P90" s="1" t="s">
        <v>49</v>
      </c>
      <c r="Q90" s="1" t="s">
        <v>50</v>
      </c>
      <c r="R90" s="1" t="s">
        <v>49</v>
      </c>
      <c r="S90" s="1" t="s">
        <v>51</v>
      </c>
      <c r="T90" s="1" t="s">
        <v>52</v>
      </c>
      <c r="U90" s="1" t="s">
        <v>69</v>
      </c>
      <c r="V90" s="1" t="s">
        <v>443</v>
      </c>
      <c r="X90" s="1">
        <v>505.53</v>
      </c>
      <c r="Y90" s="1" t="s">
        <v>444</v>
      </c>
      <c r="Z90" s="1" t="s">
        <v>445</v>
      </c>
      <c r="AC90" s="1">
        <f>0</f>
        <v>0</v>
      </c>
      <c r="AE90" s="1" t="s">
        <v>49</v>
      </c>
      <c r="AF90" s="1" t="s">
        <v>50</v>
      </c>
      <c r="AG90" s="1" t="str">
        <f>"3924900009 "</f>
        <v xml:space="preserve">3924900009 </v>
      </c>
      <c r="AH90" s="1">
        <v>2708</v>
      </c>
      <c r="AI90" s="1">
        <v>2132.5500000000002</v>
      </c>
      <c r="AJ90" s="1">
        <v>12965.91</v>
      </c>
      <c r="AK90" s="1">
        <v>8541398.0099999998</v>
      </c>
      <c r="AL90" s="1">
        <v>16895.93</v>
      </c>
      <c r="AM90" s="1">
        <v>31</v>
      </c>
      <c r="AN90" s="1" t="s">
        <v>60</v>
      </c>
      <c r="AO90" s="1">
        <v>31</v>
      </c>
      <c r="AP90" s="1" t="s">
        <v>60</v>
      </c>
    </row>
    <row r="91" spans="1:42" x14ac:dyDescent="0.25">
      <c r="A91" s="1" t="s">
        <v>447</v>
      </c>
      <c r="B91" s="1" t="s">
        <v>448</v>
      </c>
      <c r="C91" s="2">
        <v>46027</v>
      </c>
      <c r="D91" s="1">
        <v>39855411</v>
      </c>
      <c r="F91" s="1" t="s">
        <v>44</v>
      </c>
      <c r="G91" s="1">
        <v>40</v>
      </c>
      <c r="H91" s="1" t="s">
        <v>390</v>
      </c>
      <c r="I91" s="1" t="s">
        <v>391</v>
      </c>
      <c r="J91" s="1" t="s">
        <v>449</v>
      </c>
      <c r="K91" s="1" t="s">
        <v>450</v>
      </c>
      <c r="L91" s="1" t="str">
        <f>"800614301787 "</f>
        <v xml:space="preserve">800614301787 </v>
      </c>
      <c r="N91" s="1" t="s">
        <v>49</v>
      </c>
      <c r="O91" s="1" t="s">
        <v>50</v>
      </c>
      <c r="P91" s="1" t="s">
        <v>49</v>
      </c>
      <c r="Q91" s="1" t="s">
        <v>50</v>
      </c>
      <c r="R91" s="1" t="s">
        <v>49</v>
      </c>
      <c r="S91" s="1" t="s">
        <v>51</v>
      </c>
      <c r="T91" s="1" t="s">
        <v>52</v>
      </c>
      <c r="U91" s="1" t="s">
        <v>115</v>
      </c>
      <c r="V91" s="1" t="s">
        <v>451</v>
      </c>
      <c r="X91" s="1">
        <v>505.53</v>
      </c>
      <c r="Y91" s="1" t="s">
        <v>117</v>
      </c>
      <c r="AA91" s="1" t="s">
        <v>452</v>
      </c>
      <c r="AB91" s="1" t="s">
        <v>119</v>
      </c>
      <c r="AC91" s="1">
        <v>1</v>
      </c>
      <c r="AD91" s="1" t="s">
        <v>120</v>
      </c>
      <c r="AE91" s="1" t="s">
        <v>49</v>
      </c>
      <c r="AF91" s="1" t="s">
        <v>50</v>
      </c>
      <c r="AG91" s="1" t="str">
        <f>"8716200000 "</f>
        <v xml:space="preserve">8716200000 </v>
      </c>
      <c r="AH91" s="1">
        <v>11400</v>
      </c>
      <c r="AI91" s="1">
        <v>11400</v>
      </c>
      <c r="AJ91" s="1">
        <v>13500</v>
      </c>
      <c r="AK91" s="1">
        <v>6875208</v>
      </c>
      <c r="AL91" s="1">
        <v>13600</v>
      </c>
      <c r="AM91" s="1">
        <v>31</v>
      </c>
      <c r="AN91" s="1" t="s">
        <v>60</v>
      </c>
      <c r="AO91" s="1">
        <v>31</v>
      </c>
      <c r="AP91" s="1" t="s">
        <v>60</v>
      </c>
    </row>
    <row r="92" spans="1:42" x14ac:dyDescent="0.25">
      <c r="A92" s="1" t="s">
        <v>453</v>
      </c>
      <c r="B92" s="1" t="s">
        <v>454</v>
      </c>
      <c r="C92" s="2">
        <v>46027</v>
      </c>
      <c r="D92" s="1">
        <v>39850624</v>
      </c>
      <c r="E92" s="1" t="s">
        <v>455</v>
      </c>
      <c r="F92" s="1" t="s">
        <v>44</v>
      </c>
      <c r="G92" s="1">
        <v>77</v>
      </c>
      <c r="H92" s="1" t="s">
        <v>456</v>
      </c>
      <c r="I92" s="1" t="s">
        <v>457</v>
      </c>
      <c r="J92" s="1" t="s">
        <v>458</v>
      </c>
      <c r="K92" s="1" t="s">
        <v>459</v>
      </c>
      <c r="L92" s="1" t="str">
        <f>"100540013595 "</f>
        <v xml:space="preserve">100540013595 </v>
      </c>
      <c r="N92" s="1" t="s">
        <v>49</v>
      </c>
      <c r="O92" s="1" t="s">
        <v>50</v>
      </c>
      <c r="P92" s="1" t="s">
        <v>49</v>
      </c>
      <c r="Q92" s="1" t="s">
        <v>50</v>
      </c>
      <c r="R92" s="1" t="s">
        <v>49</v>
      </c>
      <c r="S92" s="1" t="s">
        <v>51</v>
      </c>
      <c r="T92" s="1" t="s">
        <v>52</v>
      </c>
      <c r="U92" s="1" t="s">
        <v>69</v>
      </c>
      <c r="V92" s="1" t="s">
        <v>460</v>
      </c>
      <c r="X92" s="1">
        <v>72.33</v>
      </c>
      <c r="Y92" s="1" t="s">
        <v>461</v>
      </c>
      <c r="Z92" s="1" t="s">
        <v>462</v>
      </c>
      <c r="AA92" s="1" t="s">
        <v>463</v>
      </c>
      <c r="AB92" s="1" t="s">
        <v>464</v>
      </c>
      <c r="AC92" s="1">
        <v>64</v>
      </c>
      <c r="AD92" s="1" t="s">
        <v>120</v>
      </c>
      <c r="AE92" s="1" t="s">
        <v>49</v>
      </c>
      <c r="AF92" s="1" t="s">
        <v>50</v>
      </c>
      <c r="AG92" s="1" t="str">
        <f>"8507102003 "</f>
        <v xml:space="preserve">8507102003 </v>
      </c>
      <c r="AH92" s="1">
        <v>1232.26</v>
      </c>
      <c r="AI92" s="1">
        <v>1136</v>
      </c>
      <c r="AJ92" s="1">
        <v>19296</v>
      </c>
      <c r="AK92" s="1">
        <v>1510343.7</v>
      </c>
      <c r="AL92" s="1">
        <v>2987.64</v>
      </c>
      <c r="AM92" s="1">
        <v>20</v>
      </c>
      <c r="AN92" s="1" t="s">
        <v>75</v>
      </c>
      <c r="AO92" s="1">
        <v>20</v>
      </c>
      <c r="AP92" s="1" t="s">
        <v>75</v>
      </c>
    </row>
    <row r="93" spans="1:42" x14ac:dyDescent="0.25">
      <c r="A93" s="1" t="s">
        <v>465</v>
      </c>
      <c r="B93" s="1" t="s">
        <v>466</v>
      </c>
      <c r="C93" s="2">
        <v>46027</v>
      </c>
      <c r="D93" s="1">
        <v>39850624</v>
      </c>
      <c r="E93" s="1" t="s">
        <v>455</v>
      </c>
      <c r="F93" s="1" t="s">
        <v>44</v>
      </c>
      <c r="G93" s="1">
        <v>40</v>
      </c>
      <c r="H93" s="1" t="s">
        <v>467</v>
      </c>
      <c r="I93" s="1" t="s">
        <v>468</v>
      </c>
      <c r="J93" s="1" t="s">
        <v>469</v>
      </c>
      <c r="K93" s="1" t="s">
        <v>470</v>
      </c>
      <c r="L93" s="1" t="str">
        <f>"170440008657 "</f>
        <v xml:space="preserve">170440008657 </v>
      </c>
      <c r="N93" s="1" t="s">
        <v>49</v>
      </c>
      <c r="O93" s="1" t="s">
        <v>50</v>
      </c>
      <c r="P93" s="1" t="s">
        <v>49</v>
      </c>
      <c r="Q93" s="1" t="s">
        <v>50</v>
      </c>
      <c r="R93" s="1" t="s">
        <v>49</v>
      </c>
      <c r="S93" s="1" t="s">
        <v>51</v>
      </c>
      <c r="T93" s="1" t="s">
        <v>52</v>
      </c>
      <c r="U93" s="1" t="s">
        <v>53</v>
      </c>
      <c r="V93" s="1" t="s">
        <v>274</v>
      </c>
      <c r="X93" s="1">
        <v>505.53</v>
      </c>
      <c r="Y93" s="1" t="s">
        <v>471</v>
      </c>
      <c r="Z93" s="1" t="s">
        <v>472</v>
      </c>
      <c r="AA93" s="1" t="s">
        <v>473</v>
      </c>
      <c r="AB93" s="1" t="s">
        <v>474</v>
      </c>
      <c r="AC93" s="1">
        <f>0</f>
        <v>0</v>
      </c>
      <c r="AE93" s="1" t="s">
        <v>49</v>
      </c>
      <c r="AF93" s="1" t="s">
        <v>50</v>
      </c>
      <c r="AG93" s="1" t="str">
        <f>"4016910000 "</f>
        <v xml:space="preserve">4016910000 </v>
      </c>
      <c r="AH93" s="1">
        <v>52640</v>
      </c>
      <c r="AI93" s="1">
        <v>52120</v>
      </c>
      <c r="AJ93" s="1">
        <v>40200</v>
      </c>
      <c r="AK93" s="1">
        <v>22344426</v>
      </c>
      <c r="AL93" s="1">
        <v>44200</v>
      </c>
      <c r="AM93" s="1">
        <v>20</v>
      </c>
      <c r="AN93" s="1" t="s">
        <v>75</v>
      </c>
      <c r="AO93" s="1">
        <v>20</v>
      </c>
      <c r="AP93" s="1" t="s">
        <v>75</v>
      </c>
    </row>
    <row r="94" spans="1:42" x14ac:dyDescent="0.25">
      <c r="A94" s="1" t="s">
        <v>453</v>
      </c>
      <c r="B94" s="1" t="s">
        <v>475</v>
      </c>
      <c r="C94" s="2">
        <v>46027</v>
      </c>
      <c r="D94" s="1">
        <v>39850624</v>
      </c>
      <c r="E94" s="1" t="s">
        <v>455</v>
      </c>
      <c r="F94" s="1" t="s">
        <v>44</v>
      </c>
      <c r="G94" s="1">
        <v>77</v>
      </c>
      <c r="H94" s="1" t="s">
        <v>456</v>
      </c>
      <c r="I94" s="1" t="s">
        <v>457</v>
      </c>
      <c r="J94" s="1" t="s">
        <v>458</v>
      </c>
      <c r="K94" s="1" t="s">
        <v>459</v>
      </c>
      <c r="L94" s="1" t="str">
        <f t="shared" ref="L94:L100" si="7">"100540013595 "</f>
        <v xml:space="preserve">100540013595 </v>
      </c>
      <c r="N94" s="1" t="s">
        <v>49</v>
      </c>
      <c r="O94" s="1" t="s">
        <v>50</v>
      </c>
      <c r="P94" s="1" t="s">
        <v>49</v>
      </c>
      <c r="Q94" s="1" t="s">
        <v>50</v>
      </c>
      <c r="R94" s="1" t="s">
        <v>49</v>
      </c>
      <c r="S94" s="1" t="s">
        <v>51</v>
      </c>
      <c r="T94" s="1" t="s">
        <v>52</v>
      </c>
      <c r="U94" s="1" t="s">
        <v>69</v>
      </c>
      <c r="V94" s="1" t="s">
        <v>460</v>
      </c>
      <c r="X94" s="1">
        <v>72.33</v>
      </c>
      <c r="Y94" s="1" t="s">
        <v>461</v>
      </c>
      <c r="Z94" s="1" t="s">
        <v>462</v>
      </c>
      <c r="AA94" s="1" t="s">
        <v>476</v>
      </c>
      <c r="AB94" s="1" t="s">
        <v>477</v>
      </c>
      <c r="AC94" s="1">
        <v>44</v>
      </c>
      <c r="AD94" s="1" t="s">
        <v>120</v>
      </c>
      <c r="AE94" s="1" t="s">
        <v>49</v>
      </c>
      <c r="AF94" s="1" t="s">
        <v>50</v>
      </c>
      <c r="AG94" s="1" t="str">
        <f>"8707109000 "</f>
        <v xml:space="preserve">8707109000 </v>
      </c>
      <c r="AH94" s="1">
        <v>50105.18</v>
      </c>
      <c r="AI94" s="1">
        <v>38700</v>
      </c>
      <c r="AJ94" s="1">
        <v>2693085.78</v>
      </c>
      <c r="AK94" s="1">
        <v>199453272.09</v>
      </c>
      <c r="AL94" s="1">
        <v>394542.9</v>
      </c>
      <c r="AM94" s="1">
        <v>20</v>
      </c>
      <c r="AN94" s="1" t="s">
        <v>75</v>
      </c>
      <c r="AO94" s="1">
        <v>20</v>
      </c>
      <c r="AP94" s="1" t="s">
        <v>75</v>
      </c>
    </row>
    <row r="95" spans="1:42" x14ac:dyDescent="0.25">
      <c r="A95" s="1" t="s">
        <v>453</v>
      </c>
      <c r="B95" s="1" t="s">
        <v>478</v>
      </c>
      <c r="C95" s="2">
        <v>46027</v>
      </c>
      <c r="D95" s="1">
        <v>39850624</v>
      </c>
      <c r="E95" s="1" t="s">
        <v>455</v>
      </c>
      <c r="F95" s="1" t="s">
        <v>44</v>
      </c>
      <c r="G95" s="1">
        <v>77</v>
      </c>
      <c r="H95" s="1" t="s">
        <v>456</v>
      </c>
      <c r="I95" s="1" t="s">
        <v>457</v>
      </c>
      <c r="J95" s="1" t="s">
        <v>458</v>
      </c>
      <c r="K95" s="1" t="s">
        <v>459</v>
      </c>
      <c r="L95" s="1" t="str">
        <f t="shared" si="7"/>
        <v xml:space="preserve">100540013595 </v>
      </c>
      <c r="N95" s="1" t="s">
        <v>49</v>
      </c>
      <c r="O95" s="1" t="s">
        <v>50</v>
      </c>
      <c r="P95" s="1" t="s">
        <v>49</v>
      </c>
      <c r="Q95" s="1" t="s">
        <v>50</v>
      </c>
      <c r="R95" s="1" t="s">
        <v>49</v>
      </c>
      <c r="S95" s="1" t="s">
        <v>51</v>
      </c>
      <c r="T95" s="1" t="s">
        <v>52</v>
      </c>
      <c r="U95" s="1" t="s">
        <v>69</v>
      </c>
      <c r="V95" s="1" t="s">
        <v>460</v>
      </c>
      <c r="X95" s="1">
        <v>72.33</v>
      </c>
      <c r="Y95" s="1" t="s">
        <v>461</v>
      </c>
      <c r="Z95" s="1" t="s">
        <v>462</v>
      </c>
      <c r="AA95" s="1" t="s">
        <v>479</v>
      </c>
      <c r="AB95" s="1" t="s">
        <v>480</v>
      </c>
      <c r="AC95" s="1">
        <v>40</v>
      </c>
      <c r="AD95" s="1" t="s">
        <v>120</v>
      </c>
      <c r="AE95" s="1" t="s">
        <v>49</v>
      </c>
      <c r="AF95" s="1" t="s">
        <v>50</v>
      </c>
      <c r="AG95" s="1" t="str">
        <f>"8407349908 "</f>
        <v xml:space="preserve">8407349908 </v>
      </c>
      <c r="AH95" s="1">
        <v>19434.400000000001</v>
      </c>
      <c r="AI95" s="1">
        <v>15680</v>
      </c>
      <c r="AJ95" s="1">
        <v>1498390.4</v>
      </c>
      <c r="AK95" s="1">
        <v>110186983.70999999</v>
      </c>
      <c r="AL95" s="1">
        <v>217963.29</v>
      </c>
      <c r="AM95" s="1">
        <v>20</v>
      </c>
      <c r="AN95" s="1" t="s">
        <v>75</v>
      </c>
      <c r="AO95" s="1">
        <v>20</v>
      </c>
      <c r="AP95" s="1" t="s">
        <v>75</v>
      </c>
    </row>
    <row r="96" spans="1:42" x14ac:dyDescent="0.25">
      <c r="A96" s="1" t="s">
        <v>453</v>
      </c>
      <c r="B96" s="1" t="s">
        <v>481</v>
      </c>
      <c r="C96" s="2">
        <v>46027</v>
      </c>
      <c r="D96" s="1">
        <v>39850624</v>
      </c>
      <c r="E96" s="1" t="s">
        <v>455</v>
      </c>
      <c r="F96" s="1" t="s">
        <v>44</v>
      </c>
      <c r="G96" s="1">
        <v>77</v>
      </c>
      <c r="H96" s="1" t="s">
        <v>456</v>
      </c>
      <c r="I96" s="1" t="s">
        <v>457</v>
      </c>
      <c r="J96" s="1" t="s">
        <v>458</v>
      </c>
      <c r="K96" s="1" t="s">
        <v>459</v>
      </c>
      <c r="L96" s="1" t="str">
        <f t="shared" si="7"/>
        <v xml:space="preserve">100540013595 </v>
      </c>
      <c r="N96" s="1" t="s">
        <v>49</v>
      </c>
      <c r="O96" s="1" t="s">
        <v>50</v>
      </c>
      <c r="P96" s="1" t="s">
        <v>49</v>
      </c>
      <c r="Q96" s="1" t="s">
        <v>50</v>
      </c>
      <c r="R96" s="1" t="s">
        <v>49</v>
      </c>
      <c r="S96" s="1" t="s">
        <v>51</v>
      </c>
      <c r="T96" s="1" t="s">
        <v>52</v>
      </c>
      <c r="U96" s="1" t="s">
        <v>69</v>
      </c>
      <c r="V96" s="1" t="s">
        <v>460</v>
      </c>
      <c r="X96" s="1">
        <v>72.33</v>
      </c>
      <c r="Y96" s="1" t="s">
        <v>461</v>
      </c>
      <c r="Z96" s="1" t="s">
        <v>462</v>
      </c>
      <c r="AA96" s="1" t="s">
        <v>482</v>
      </c>
      <c r="AB96" s="1" t="s">
        <v>483</v>
      </c>
      <c r="AC96" s="1">
        <v>44</v>
      </c>
      <c r="AD96" s="1" t="s">
        <v>120</v>
      </c>
      <c r="AE96" s="1" t="s">
        <v>49</v>
      </c>
      <c r="AF96" s="1" t="s">
        <v>50</v>
      </c>
      <c r="AG96" s="1" t="str">
        <f>"8708503509 "</f>
        <v xml:space="preserve">8708503509 </v>
      </c>
      <c r="AH96" s="1">
        <v>4414.9799999999996</v>
      </c>
      <c r="AI96" s="1">
        <v>3410</v>
      </c>
      <c r="AJ96" s="1">
        <v>183033.74</v>
      </c>
      <c r="AK96" s="1">
        <v>13649652.289999999</v>
      </c>
      <c r="AL96" s="1">
        <v>27000.68</v>
      </c>
      <c r="AM96" s="1">
        <v>20</v>
      </c>
      <c r="AN96" s="1" t="s">
        <v>75</v>
      </c>
      <c r="AO96" s="1">
        <v>20</v>
      </c>
      <c r="AP96" s="1" t="s">
        <v>75</v>
      </c>
    </row>
    <row r="97" spans="1:42" x14ac:dyDescent="0.25">
      <c r="A97" s="1" t="s">
        <v>453</v>
      </c>
      <c r="B97" s="1" t="s">
        <v>484</v>
      </c>
      <c r="C97" s="2">
        <v>46027</v>
      </c>
      <c r="D97" s="1">
        <v>39850624</v>
      </c>
      <c r="E97" s="1" t="s">
        <v>455</v>
      </c>
      <c r="F97" s="1" t="s">
        <v>44</v>
      </c>
      <c r="G97" s="1">
        <v>77</v>
      </c>
      <c r="H97" s="1" t="s">
        <v>456</v>
      </c>
      <c r="I97" s="1" t="s">
        <v>457</v>
      </c>
      <c r="J97" s="1" t="s">
        <v>458</v>
      </c>
      <c r="K97" s="1" t="s">
        <v>459</v>
      </c>
      <c r="L97" s="1" t="str">
        <f t="shared" si="7"/>
        <v xml:space="preserve">100540013595 </v>
      </c>
      <c r="N97" s="1" t="s">
        <v>49</v>
      </c>
      <c r="O97" s="1" t="s">
        <v>50</v>
      </c>
      <c r="P97" s="1" t="s">
        <v>49</v>
      </c>
      <c r="Q97" s="1" t="s">
        <v>50</v>
      </c>
      <c r="R97" s="1" t="s">
        <v>49</v>
      </c>
      <c r="S97" s="1" t="s">
        <v>51</v>
      </c>
      <c r="T97" s="1" t="s">
        <v>52</v>
      </c>
      <c r="U97" s="1" t="s">
        <v>69</v>
      </c>
      <c r="V97" s="1" t="s">
        <v>460</v>
      </c>
      <c r="X97" s="1">
        <v>72.33</v>
      </c>
      <c r="Y97" s="1" t="s">
        <v>461</v>
      </c>
      <c r="Z97" s="1" t="s">
        <v>462</v>
      </c>
      <c r="AA97" s="1" t="s">
        <v>485</v>
      </c>
      <c r="AC97" s="1">
        <f>0</f>
        <v>0</v>
      </c>
      <c r="AE97" s="1" t="s">
        <v>49</v>
      </c>
      <c r="AF97" s="1" t="s">
        <v>50</v>
      </c>
      <c r="AG97" s="1" t="str">
        <f>"3926909709 "</f>
        <v xml:space="preserve">3926909709 </v>
      </c>
      <c r="AH97" s="1">
        <v>843.87</v>
      </c>
      <c r="AI97" s="1">
        <v>546.41999999999996</v>
      </c>
      <c r="AJ97" s="1">
        <v>23898.400000000001</v>
      </c>
      <c r="AK97" s="1">
        <v>1807094.9</v>
      </c>
      <c r="AL97" s="1">
        <v>3574.65</v>
      </c>
      <c r="AM97" s="1">
        <v>20</v>
      </c>
      <c r="AN97" s="1" t="s">
        <v>75</v>
      </c>
      <c r="AO97" s="1">
        <v>20</v>
      </c>
      <c r="AP97" s="1" t="s">
        <v>75</v>
      </c>
    </row>
    <row r="98" spans="1:42" x14ac:dyDescent="0.25">
      <c r="A98" s="1" t="s">
        <v>453</v>
      </c>
      <c r="B98" s="1" t="s">
        <v>486</v>
      </c>
      <c r="C98" s="2">
        <v>46027</v>
      </c>
      <c r="D98" s="1">
        <v>39850624</v>
      </c>
      <c r="E98" s="1" t="s">
        <v>455</v>
      </c>
      <c r="F98" s="1" t="s">
        <v>44</v>
      </c>
      <c r="G98" s="1">
        <v>77</v>
      </c>
      <c r="H98" s="1" t="s">
        <v>456</v>
      </c>
      <c r="I98" s="1" t="s">
        <v>457</v>
      </c>
      <c r="J98" s="1" t="s">
        <v>458</v>
      </c>
      <c r="K98" s="1" t="s">
        <v>459</v>
      </c>
      <c r="L98" s="1" t="str">
        <f t="shared" si="7"/>
        <v xml:space="preserve">100540013595 </v>
      </c>
      <c r="N98" s="1" t="s">
        <v>49</v>
      </c>
      <c r="O98" s="1" t="s">
        <v>50</v>
      </c>
      <c r="P98" s="1" t="s">
        <v>49</v>
      </c>
      <c r="Q98" s="1" t="s">
        <v>50</v>
      </c>
      <c r="R98" s="1" t="s">
        <v>49</v>
      </c>
      <c r="S98" s="1" t="s">
        <v>51</v>
      </c>
      <c r="T98" s="1" t="s">
        <v>52</v>
      </c>
      <c r="U98" s="1" t="s">
        <v>69</v>
      </c>
      <c r="V98" s="1" t="s">
        <v>460</v>
      </c>
      <c r="X98" s="1">
        <v>72.33</v>
      </c>
      <c r="Y98" s="1" t="s">
        <v>461</v>
      </c>
      <c r="Z98" s="1" t="s">
        <v>462</v>
      </c>
      <c r="AA98" s="1" t="s">
        <v>487</v>
      </c>
      <c r="AB98" s="1" t="s">
        <v>488</v>
      </c>
      <c r="AC98" s="1">
        <f>0</f>
        <v>0</v>
      </c>
      <c r="AE98" s="1" t="s">
        <v>49</v>
      </c>
      <c r="AF98" s="1" t="s">
        <v>50</v>
      </c>
      <c r="AG98" s="1" t="str">
        <f>"8708803509 "</f>
        <v xml:space="preserve">8708803509 </v>
      </c>
      <c r="AH98" s="1">
        <v>483.86</v>
      </c>
      <c r="AI98" s="1">
        <v>337.28</v>
      </c>
      <c r="AJ98" s="1">
        <v>21973.759999999998</v>
      </c>
      <c r="AK98" s="1">
        <v>1634386.11</v>
      </c>
      <c r="AL98" s="1">
        <v>3233.02</v>
      </c>
      <c r="AM98" s="1">
        <v>20</v>
      </c>
      <c r="AN98" s="1" t="s">
        <v>75</v>
      </c>
      <c r="AO98" s="1">
        <v>20</v>
      </c>
      <c r="AP98" s="1" t="s">
        <v>75</v>
      </c>
    </row>
    <row r="99" spans="1:42" x14ac:dyDescent="0.25">
      <c r="A99" s="1" t="s">
        <v>453</v>
      </c>
      <c r="B99" s="1" t="s">
        <v>489</v>
      </c>
      <c r="C99" s="2">
        <v>46027</v>
      </c>
      <c r="D99" s="1">
        <v>39850624</v>
      </c>
      <c r="E99" s="1" t="s">
        <v>455</v>
      </c>
      <c r="F99" s="1" t="s">
        <v>44</v>
      </c>
      <c r="G99" s="1">
        <v>77</v>
      </c>
      <c r="H99" s="1" t="s">
        <v>456</v>
      </c>
      <c r="I99" s="1" t="s">
        <v>457</v>
      </c>
      <c r="J99" s="1" t="s">
        <v>458</v>
      </c>
      <c r="K99" s="1" t="s">
        <v>459</v>
      </c>
      <c r="L99" s="1" t="str">
        <f t="shared" si="7"/>
        <v xml:space="preserve">100540013595 </v>
      </c>
      <c r="N99" s="1" t="s">
        <v>49</v>
      </c>
      <c r="O99" s="1" t="s">
        <v>50</v>
      </c>
      <c r="P99" s="1" t="s">
        <v>49</v>
      </c>
      <c r="Q99" s="1" t="s">
        <v>50</v>
      </c>
      <c r="R99" s="1" t="s">
        <v>49</v>
      </c>
      <c r="S99" s="1" t="s">
        <v>51</v>
      </c>
      <c r="T99" s="1" t="s">
        <v>52</v>
      </c>
      <c r="U99" s="1" t="s">
        <v>69</v>
      </c>
      <c r="V99" s="1" t="s">
        <v>460</v>
      </c>
      <c r="X99" s="1">
        <v>72.33</v>
      </c>
      <c r="Y99" s="1" t="s">
        <v>461</v>
      </c>
      <c r="Z99" s="1" t="s">
        <v>462</v>
      </c>
      <c r="AA99" s="1" t="s">
        <v>490</v>
      </c>
      <c r="AB99" s="1" t="s">
        <v>491</v>
      </c>
      <c r="AC99" s="1">
        <f>0</f>
        <v>0</v>
      </c>
      <c r="AE99" s="1" t="s">
        <v>49</v>
      </c>
      <c r="AF99" s="1" t="s">
        <v>50</v>
      </c>
      <c r="AG99" s="1" t="str">
        <f>"8708929909 "</f>
        <v xml:space="preserve">8708929909 </v>
      </c>
      <c r="AH99" s="1">
        <v>922.96</v>
      </c>
      <c r="AI99" s="1">
        <v>712.8</v>
      </c>
      <c r="AJ99" s="1">
        <v>30168.6</v>
      </c>
      <c r="AK99" s="1">
        <v>2267977.94</v>
      </c>
      <c r="AL99" s="1">
        <v>4486.34</v>
      </c>
      <c r="AM99" s="1">
        <v>20</v>
      </c>
      <c r="AN99" s="1" t="s">
        <v>75</v>
      </c>
      <c r="AO99" s="1">
        <v>20</v>
      </c>
      <c r="AP99" s="1" t="s">
        <v>75</v>
      </c>
    </row>
    <row r="100" spans="1:42" x14ac:dyDescent="0.25">
      <c r="A100" s="1" t="s">
        <v>453</v>
      </c>
      <c r="B100" s="1" t="s">
        <v>492</v>
      </c>
      <c r="C100" s="2">
        <v>46027</v>
      </c>
      <c r="D100" s="1">
        <v>39850624</v>
      </c>
      <c r="E100" s="1" t="s">
        <v>455</v>
      </c>
      <c r="F100" s="1" t="s">
        <v>44</v>
      </c>
      <c r="G100" s="1">
        <v>77</v>
      </c>
      <c r="H100" s="1" t="s">
        <v>456</v>
      </c>
      <c r="I100" s="1" t="s">
        <v>457</v>
      </c>
      <c r="J100" s="1" t="s">
        <v>458</v>
      </c>
      <c r="K100" s="1" t="s">
        <v>459</v>
      </c>
      <c r="L100" s="1" t="str">
        <f t="shared" si="7"/>
        <v xml:space="preserve">100540013595 </v>
      </c>
      <c r="N100" s="1" t="s">
        <v>49</v>
      </c>
      <c r="O100" s="1" t="s">
        <v>50</v>
      </c>
      <c r="P100" s="1" t="s">
        <v>49</v>
      </c>
      <c r="Q100" s="1" t="s">
        <v>50</v>
      </c>
      <c r="R100" s="1" t="s">
        <v>49</v>
      </c>
      <c r="S100" s="1" t="s">
        <v>51</v>
      </c>
      <c r="T100" s="1" t="s">
        <v>52</v>
      </c>
      <c r="U100" s="1" t="s">
        <v>69</v>
      </c>
      <c r="V100" s="1" t="s">
        <v>460</v>
      </c>
      <c r="X100" s="1">
        <v>72.33</v>
      </c>
      <c r="Y100" s="1" t="s">
        <v>461</v>
      </c>
      <c r="Z100" s="1" t="s">
        <v>462</v>
      </c>
      <c r="AA100" s="1" t="s">
        <v>493</v>
      </c>
      <c r="AB100" s="1" t="s">
        <v>494</v>
      </c>
      <c r="AC100" s="1">
        <f>0</f>
        <v>0</v>
      </c>
      <c r="AE100" s="1" t="s">
        <v>49</v>
      </c>
      <c r="AF100" s="1" t="s">
        <v>50</v>
      </c>
      <c r="AG100" s="1" t="str">
        <f>"8708809909 "</f>
        <v xml:space="preserve">8708809909 </v>
      </c>
      <c r="AH100" s="1">
        <v>530.38</v>
      </c>
      <c r="AI100" s="1">
        <v>313.60000000000002</v>
      </c>
      <c r="AJ100" s="1">
        <v>5898.24</v>
      </c>
      <c r="AK100" s="1">
        <v>475972.52</v>
      </c>
      <c r="AL100" s="1">
        <v>941.53</v>
      </c>
      <c r="AM100" s="1">
        <v>20</v>
      </c>
      <c r="AN100" s="1" t="s">
        <v>75</v>
      </c>
      <c r="AO100" s="1">
        <v>20</v>
      </c>
      <c r="AP100" s="1" t="s">
        <v>75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КЗ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user</cp:lastModifiedBy>
  <dcterms:created xsi:type="dcterms:W3CDTF">2026-05-20T09:42:42Z</dcterms:created>
  <dcterms:modified xsi:type="dcterms:W3CDTF">2026-05-20T11:50:46Z</dcterms:modified>
</cp:coreProperties>
</file>